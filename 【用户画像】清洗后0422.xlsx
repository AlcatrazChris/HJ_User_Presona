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<sst xmlns="http://schemas.openxmlformats.org/spreadsheetml/2006/main" count="13407" uniqueCount="1379">
  <si>
    <t>姓名</t>
  </si>
  <si>
    <t>性别</t>
  </si>
  <si>
    <t>大区</t>
  </si>
  <si>
    <t>省份</t>
  </si>
  <si>
    <t>城市</t>
  </si>
  <si>
    <t>年龄段</t>
  </si>
  <si>
    <t>家庭结构</t>
  </si>
  <si>
    <t>学历</t>
  </si>
  <si>
    <t>家庭年收入</t>
  </si>
  <si>
    <t>职业</t>
  </si>
  <si>
    <t>消费观念</t>
  </si>
  <si>
    <t>是否增换购</t>
  </si>
  <si>
    <t>通勤环境</t>
  </si>
  <si>
    <t>触媒渠道</t>
  </si>
  <si>
    <t>性能偏好</t>
  </si>
  <si>
    <t>智能偏好</t>
  </si>
  <si>
    <t>对比车型</t>
  </si>
  <si>
    <t>苏国邦</t>
  </si>
  <si>
    <t>30-34岁</t>
  </si>
  <si>
    <t>五口之家</t>
  </si>
  <si>
    <t>大专</t>
  </si>
  <si>
    <t>15万以下</t>
  </si>
  <si>
    <t>基础职工</t>
  </si>
  <si>
    <t>(跳过)</t>
  </si>
  <si>
    <t>是</t>
  </si>
  <si>
    <t>城市市区通勤为主┋城乡往返兼顾</t>
  </si>
  <si>
    <t>懂车帝、汽车之家等汽车垂媒</t>
  </si>
  <si>
    <t>通过性强、底盘高┋空间大能装┋安全配置高</t>
  </si>
  <si>
    <t>城市领航辅助NCA┋泊车辅助功能APA</t>
  </si>
  <si>
    <t>吉利银河M9</t>
  </si>
  <si>
    <t>张建华</t>
  </si>
  <si>
    <t>40-44岁</t>
  </si>
  <si>
    <t>三口之家</t>
  </si>
  <si>
    <t>高中/中专及以下</t>
  </si>
  <si>
    <t>30-39万</t>
  </si>
  <si>
    <t>管理人员</t>
  </si>
  <si>
    <t>城市市区通勤为主</t>
  </si>
  <si>
    <t>抖音、微博、小红书等社交媒体</t>
  </si>
  <si>
    <t>耐寒/防冻┋通过性强、底盘高┋安全配置高</t>
  </si>
  <si>
    <t>高速领航辅助NCA┋城市领航辅助NCA</t>
  </si>
  <si>
    <t>零跑D19</t>
  </si>
  <si>
    <t>胡胜法</t>
  </si>
  <si>
    <t>35-39岁</t>
  </si>
  <si>
    <t>20-24万</t>
  </si>
  <si>
    <t>个体户</t>
  </si>
  <si>
    <t>县城及乡镇道路为主┋高速长途居多</t>
  </si>
  <si>
    <t>华境汽车官方公众号、视频号等</t>
  </si>
  <si>
    <t>省油省电┋空间大能装┋安全配置高</t>
  </si>
  <si>
    <t>问界系列</t>
  </si>
  <si>
    <t>李敬</t>
  </si>
  <si>
    <t>四口之家</t>
  </si>
  <si>
    <t>15-19万</t>
  </si>
  <si>
    <t>县城及乡镇道路为主┋高速长途居多┋山区/非铺装路面居多</t>
  </si>
  <si>
    <t>其他（小鹏、理想、蔚来、乐道、岚图、深蓝系列等等）〖传祺〗</t>
  </si>
  <si>
    <t>贺薇</t>
  </si>
  <si>
    <t>硕士</t>
  </si>
  <si>
    <t>体制内</t>
  </si>
  <si>
    <t>城乡往返兼顾</t>
  </si>
  <si>
    <t>通过性强、底盘高┋省油省电┋安全配置高</t>
  </si>
  <si>
    <t>高速领航辅助NCA┋泊车辅助功能APA</t>
  </si>
  <si>
    <t>零跑C16</t>
  </si>
  <si>
    <t>许书亮</t>
  </si>
  <si>
    <t>防尘抗造┋通过性强、底盘高┋安全配置高</t>
  </si>
  <si>
    <t>高速领航辅助NCA┋主动安全（如AEB等）</t>
  </si>
  <si>
    <t>方程豹钛7┋其他（小鹏、理想、蔚来、乐道、岚图、深蓝系列等等）〖比亚迪大唐〗</t>
  </si>
  <si>
    <t>张俊</t>
  </si>
  <si>
    <t>本科</t>
  </si>
  <si>
    <t>城市市区通勤为主┋县城及乡镇道路为主</t>
  </si>
  <si>
    <t>吉利银河M9┋奇瑞风云T11</t>
  </si>
  <si>
    <t>李智豪</t>
  </si>
  <si>
    <t>30岁以下</t>
  </si>
  <si>
    <t>城市市区通勤为主┋县城及乡镇道路为主┋高速长途居多</t>
  </si>
  <si>
    <t>王妍</t>
  </si>
  <si>
    <t>50万以上</t>
  </si>
  <si>
    <t>通过性强、底盘高┋安全配置高</t>
  </si>
  <si>
    <t>其他（小鹏、理想、蔚来、乐道、岚图、深蓝系列等等）</t>
  </si>
  <si>
    <t>李菁甫</t>
  </si>
  <si>
    <t>自由职业</t>
  </si>
  <si>
    <t>城市市区通勤为主┋高速长途居多</t>
  </si>
  <si>
    <t>耐寒/防冻┋防尘抗造┋通过性强、底盘高</t>
  </si>
  <si>
    <t>林准</t>
  </si>
  <si>
    <t>六口及以上</t>
  </si>
  <si>
    <t>企业职员</t>
  </si>
  <si>
    <t>否，我是首购用户</t>
  </si>
  <si>
    <t>高速长途居多</t>
  </si>
  <si>
    <t>其他</t>
  </si>
  <si>
    <t>城市领航辅助NCA┋主动安全（如AEB等）</t>
  </si>
  <si>
    <t>张庆良</t>
  </si>
  <si>
    <t>50岁以上</t>
  </si>
  <si>
    <t>通过性强、底盘高┋省油省电┋空间大能装</t>
  </si>
  <si>
    <t>零跑C16┋零跑D19┋其他（小鹏、理想、蔚来、乐道、岚图、深蓝系列等等）〖比亚迪唐L、魏牌蓝山、腾势n8l、哈弗猛龙plus〗</t>
  </si>
  <si>
    <t>张琼</t>
  </si>
  <si>
    <t>县城及乡镇道路为主┋城乡往返兼顾</t>
  </si>
  <si>
    <t>闵亚珍</t>
  </si>
  <si>
    <t>零跑D19┋方程豹钛7┋问界系列</t>
  </si>
  <si>
    <t>秦岭</t>
  </si>
  <si>
    <t>技术人员</t>
  </si>
  <si>
    <t>空间大能装┋安全配置高</t>
  </si>
  <si>
    <t>吉利银河M9┋零跑D19┋其他（小鹏、理想、蔚来、乐道、岚图、深蓝系列等等）</t>
  </si>
  <si>
    <t>杭家骏</t>
  </si>
  <si>
    <t>城市市区通勤为主┋高速长途居多┋山区/非铺装路面居多</t>
  </si>
  <si>
    <t>吉利银河M9┋零跑C16┋零跑D19┋奇瑞风云T11</t>
  </si>
  <si>
    <t>陈俊</t>
  </si>
  <si>
    <t>零跑D19┋问界系列</t>
  </si>
  <si>
    <t>刘清锟</t>
  </si>
  <si>
    <t>华为乾崑APP及小程序</t>
  </si>
  <si>
    <t>防尘抗造┋省油省电┋安全配置高</t>
  </si>
  <si>
    <t>零跑C16┋方程豹钛7┋问界系列</t>
  </si>
  <si>
    <t>胡灿华</t>
  </si>
  <si>
    <t>张小红</t>
  </si>
  <si>
    <t>潮流尝鲜，喜欢尝试新品牌/新车型┋家庭优先，买车优先考虑家用需求</t>
  </si>
  <si>
    <t>县城及乡镇道路为主</t>
  </si>
  <si>
    <t>泊车辅助功能APA┋其他</t>
  </si>
  <si>
    <t>郑国兴</t>
  </si>
  <si>
    <t>单身</t>
  </si>
  <si>
    <t>务实克制，注重性价比和实用性┋理性精打，会反复对比再决定</t>
  </si>
  <si>
    <t>郑锦河</t>
  </si>
  <si>
    <t>务实克制，注重性价比和实用性┋家庭优先，买车优先考虑家用需求</t>
  </si>
  <si>
    <t>吉利银河M9┋方程豹钛7┋问界系列</t>
  </si>
  <si>
    <t>杨雨树</t>
  </si>
  <si>
    <t>24-29万</t>
  </si>
  <si>
    <t>务实克制，注重性价比和实用性</t>
  </si>
  <si>
    <t>安全配置高</t>
  </si>
  <si>
    <t>吉利银河M9┋零跑C16</t>
  </si>
  <si>
    <t>刘畅</t>
  </si>
  <si>
    <t>务实克制，注重性价比和实用性┋相信大众，大众的选择肯定没错</t>
  </si>
  <si>
    <t>城市市区通勤为主┋城乡往返兼顾┋高速长途居多</t>
  </si>
  <si>
    <t>张明庄</t>
  </si>
  <si>
    <t>零跑D19┋奇瑞风云T11┋其他（小鹏、理想、蔚来、乐道、岚图、深蓝系列等等）</t>
  </si>
  <si>
    <t>付明明</t>
  </si>
  <si>
    <t>务实克制，注重性价比和实用性┋注重品牌，愿意为品牌/档次买单</t>
  </si>
  <si>
    <t>吉利银河M9┋零跑C16┋零跑D19┋奇瑞风云T11┋方程豹钛7┋问界系列┋其他（小鹏、理想、蔚来、乐道、岚图、深蓝系列等等）</t>
  </si>
  <si>
    <t>陈楠</t>
  </si>
  <si>
    <t>吉利银河M9┋零跑D19</t>
  </si>
  <si>
    <t>王昌宇</t>
  </si>
  <si>
    <t>吉利银河M9┋零跑C16┋奇瑞风云T11┋方程豹钛7┋其他（小鹏、理想、蔚来、乐道、岚图、深蓝系列等等）</t>
  </si>
  <si>
    <t>冯玉莲</t>
  </si>
  <si>
    <t>注重品牌，愿意为品牌/档次买单┋家庭优先，买车优先考虑家用需求</t>
  </si>
  <si>
    <t>陈希</t>
  </si>
  <si>
    <t>其他（小鹏、理想、蔚来、乐道、岚图、深蓝系列等等）〖星光730,星光L〗</t>
  </si>
  <si>
    <t>杨于荣</t>
  </si>
  <si>
    <t>吉利银河M9┋零跑C16┋问界系列</t>
  </si>
  <si>
    <t>许娅婷</t>
  </si>
  <si>
    <t>城市市区通勤为主┋县城及乡镇道路为主┋城乡往返兼顾</t>
  </si>
  <si>
    <t>吉利银河M9┋零跑D19┋方程豹钛7</t>
  </si>
  <si>
    <t>张艺达</t>
  </si>
  <si>
    <t>零跑D19┋其他（小鹏、理想、蔚来、乐道、岚图、深蓝系列等等）〖大唐和腾势N8L〗</t>
  </si>
  <si>
    <t>江威</t>
  </si>
  <si>
    <t>吉利银河M9┋零跑D19┋问界系列┋其他（小鹏、理想、蔚来、乐道、岚图、深蓝系列等等）〖深蓝S09〗</t>
  </si>
  <si>
    <t>阮敏芝</t>
  </si>
  <si>
    <t>吉利银河M9┋零跑D19┋问界系列</t>
  </si>
  <si>
    <t>周鑫</t>
  </si>
  <si>
    <t>防尘抗造┋通过性强、底盘高┋空间大能装</t>
  </si>
  <si>
    <t>陈开领</t>
  </si>
  <si>
    <t>问界系列┋其他（小鹏、理想、蔚来、乐道、岚图、深蓝系列等等）〖魏派蓝山、比亚迪大唐、腾势N8L〗</t>
  </si>
  <si>
    <t>任鹤飞</t>
  </si>
  <si>
    <t>冯朝军</t>
  </si>
  <si>
    <t>吉利银河M9┋零跑C16┋零跑D19┋奇瑞风云T11┋问界系列</t>
  </si>
  <si>
    <t>魏红伟</t>
  </si>
  <si>
    <t>45-49岁</t>
  </si>
  <si>
    <t>方程豹钛7</t>
  </si>
  <si>
    <t>刘梦想</t>
  </si>
  <si>
    <t>两口之家</t>
  </si>
  <si>
    <t>陈磊</t>
  </si>
  <si>
    <t>吉利银河M9┋零跑C16┋奇瑞风云T11┋其他（小鹏、理想、蔚来、乐道、岚图、深蓝系列等等）〖捷途山海 L7PLUS〗</t>
  </si>
  <si>
    <t>倪晓东</t>
  </si>
  <si>
    <t>吉利银河M9┋零跑D19┋奇瑞风云T11┋方程豹钛7┋问界系列┋其他（小鹏、理想、蔚来、乐道、岚图、深蓝系列等等）</t>
  </si>
  <si>
    <t>潮流尝鲜，喜欢尝试新品牌/新车型┋精致小资，注重用车体验和细节</t>
  </si>
  <si>
    <t>曹津彪</t>
  </si>
  <si>
    <t>务实克制，注重性价比和实用性┋潮流尝鲜，喜欢尝试新品牌/新车型</t>
  </si>
  <si>
    <t>张璐</t>
  </si>
  <si>
    <t>刘书壮</t>
  </si>
  <si>
    <t>吉利银河M9┋零跑D19┋奇瑞风云T11</t>
  </si>
  <si>
    <t>李建伟</t>
  </si>
  <si>
    <t>薛艳光</t>
  </si>
  <si>
    <t>高速领航辅助NCA</t>
  </si>
  <si>
    <t>吉利银河M9┋零跑C16┋奇瑞风云T11┋问界系列┋其他（小鹏、理想、蔚来、乐道、岚图、深蓝系列等等）</t>
  </si>
  <si>
    <t>李林</t>
  </si>
  <si>
    <t>通过性强、底盘高</t>
  </si>
  <si>
    <t>泊车辅助功能APA┋主动安全（如AEB等）</t>
  </si>
  <si>
    <t>邹力</t>
  </si>
  <si>
    <t>耐寒/防冻┋防雨防潮┋通过性强、底盘高</t>
  </si>
  <si>
    <t>田凯丽</t>
  </si>
  <si>
    <t>问界系列┋其他（小鹏、理想、蔚来、乐道、岚图、深蓝系列等等）</t>
  </si>
  <si>
    <t>吴康</t>
  </si>
  <si>
    <t>其他（小鹏、理想、蔚来、乐道、岚图、深蓝系列等等）〖小鹏X9〗</t>
  </si>
  <si>
    <t>顾瑶</t>
  </si>
  <si>
    <t>防雨防潮┋省油省电┋安全配置高</t>
  </si>
  <si>
    <t>孙艳磊</t>
  </si>
  <si>
    <t>其他〖还没试驾，听说不错〗</t>
  </si>
  <si>
    <t>李茂丹</t>
  </si>
  <si>
    <t>李宝洁</t>
  </si>
  <si>
    <t>耐寒/防冻┋通过性强、底盘高┋空间大能装</t>
  </si>
  <si>
    <t>其他（小鹏、理想、蔚来、乐道、岚图、深蓝系列等等）〖无〗</t>
  </si>
  <si>
    <t>陈臣明</t>
  </si>
  <si>
    <t>吉利银河M9┋零跑C16┋零跑D19┋奇瑞风云T11┋方程豹钛7</t>
  </si>
  <si>
    <t>黄瑄曼</t>
  </si>
  <si>
    <t>吉利银河M9┋奇瑞风云T11┋问界系列┋其他（小鹏、理想、蔚来、乐道、岚图、深蓝系列等等）</t>
  </si>
  <si>
    <t>唐平武</t>
  </si>
  <si>
    <t>防尘抗造┋空间大能装┋安全配置高</t>
  </si>
  <si>
    <t>零跑D19┋方程豹钛7</t>
  </si>
  <si>
    <t>王振宇</t>
  </si>
  <si>
    <t>省油省电┋安全配置高</t>
  </si>
  <si>
    <t>刘彩缨</t>
  </si>
  <si>
    <t>省油省电┋空间大能装</t>
  </si>
  <si>
    <t>刘明宇</t>
  </si>
  <si>
    <t>吉利银河M9┋零跑D19┋方程豹钛7┋问界系列</t>
  </si>
  <si>
    <t>齐通</t>
  </si>
  <si>
    <t>金科</t>
  </si>
  <si>
    <t>问界系列┋其他（小鹏、理想、蔚来、乐道、岚图、深蓝系列等等）〖理想〗</t>
  </si>
  <si>
    <t>陈舒忱</t>
  </si>
  <si>
    <t>40-49万</t>
  </si>
  <si>
    <t>家庭优先，买车优先考虑家用需求┋相信大众，大众的选择肯定没错</t>
  </si>
  <si>
    <t>杨存云</t>
  </si>
  <si>
    <t>吉利银河M9┋零跑C16┋零跑D19┋奇瑞风云T11┋方程豹钛7┋问界系列</t>
  </si>
  <si>
    <t>孙刘杰</t>
  </si>
  <si>
    <t>燕天池</t>
  </si>
  <si>
    <t>注重品牌，愿意为品牌/档次买单</t>
  </si>
  <si>
    <t>城市领航辅助NCA</t>
  </si>
  <si>
    <t>阮孝磊</t>
  </si>
  <si>
    <t>孙祥</t>
  </si>
  <si>
    <t>石云华</t>
  </si>
  <si>
    <t>翟学勇</t>
  </si>
  <si>
    <t>务实克制，注重性价比和实用性┋豪爽大气，看中眼缘就愿意下单</t>
  </si>
  <si>
    <t>苏振鹏</t>
  </si>
  <si>
    <t>张俊特</t>
  </si>
  <si>
    <t>其他（小鹏、理想、蔚来、乐道、岚图、深蓝系列等等）〖尚界Z7T〗</t>
  </si>
  <si>
    <t>王春朝</t>
  </si>
  <si>
    <t>林道斌</t>
  </si>
  <si>
    <t>周剑海</t>
  </si>
  <si>
    <t>吉利银河M9┋问界系列┋其他（小鹏、理想、蔚来、乐道、岚图、深蓝系列等等）〖智己〗</t>
  </si>
  <si>
    <t>邱柳荣</t>
  </si>
  <si>
    <t>董李刚</t>
  </si>
  <si>
    <t>黄华</t>
  </si>
  <si>
    <t>李先生</t>
  </si>
  <si>
    <t>防雨防潮┋防尘抗造┋通过性强、底盘高</t>
  </si>
  <si>
    <t>费锦国</t>
  </si>
  <si>
    <t>杨帅</t>
  </si>
  <si>
    <t>奇瑞风云T11┋问界系列</t>
  </si>
  <si>
    <t>莫雪薇</t>
  </si>
  <si>
    <t>务实克制，注重性价比和实用性┋精致小资，注重用车体验和细节</t>
  </si>
  <si>
    <t>房浩然</t>
  </si>
  <si>
    <t>秦浩</t>
  </si>
  <si>
    <t>王超</t>
  </si>
  <si>
    <t>吉利银河M9┋零跑D19┋问界系列┋其他（小鹏、理想、蔚来、乐道、岚图、深蓝系列等等）〖理想i6，问界m6，〗</t>
  </si>
  <si>
    <t>马</t>
  </si>
  <si>
    <t>零跑C16┋零跑D19┋奇瑞风云T11</t>
  </si>
  <si>
    <t>张帅</t>
  </si>
  <si>
    <t>其他（小鹏、理想、蔚来、乐道、岚图、深蓝系列等等）〖高山8〗</t>
  </si>
  <si>
    <t>尹景旺</t>
  </si>
  <si>
    <t>博士</t>
  </si>
  <si>
    <t>其他（小鹏、理想、蔚来、乐道、岚图、深蓝系列等等）〖星光L〗</t>
  </si>
  <si>
    <t>盖明星</t>
  </si>
  <si>
    <t>何晶</t>
  </si>
  <si>
    <t>孙甲方</t>
  </si>
  <si>
    <t>冯文敏</t>
  </si>
  <si>
    <t>通过性强、底盘高┋空间大能装</t>
  </si>
  <si>
    <t>陈虹帆</t>
  </si>
  <si>
    <t>夏鹏</t>
  </si>
  <si>
    <t>吉利银河M9┋零跑C16┋零跑D19</t>
  </si>
  <si>
    <t>尹洪彬</t>
  </si>
  <si>
    <t>吉利银河M9┋零跑D19┋奇瑞风云T11┋方程豹钛7</t>
  </si>
  <si>
    <t>李红伟</t>
  </si>
  <si>
    <t>梁俪馨</t>
  </si>
  <si>
    <t>谭昌贤</t>
  </si>
  <si>
    <t>零跑C16┋零跑D19┋其他（小鹏、理想、蔚来、乐道、岚图、深蓝系列等等）</t>
  </si>
  <si>
    <t>崔向明</t>
  </si>
  <si>
    <t>吉利银河M9┋奇瑞风云T11┋问界系列</t>
  </si>
  <si>
    <t>邹文聪</t>
  </si>
  <si>
    <t>吉利银河M9┋奇瑞风云T11┋方程豹钛7</t>
  </si>
  <si>
    <t>孙朝荣</t>
  </si>
  <si>
    <t>葛玉忠</t>
  </si>
  <si>
    <t>其他（小鹏、理想、蔚来、乐道、岚图、深蓝系列等等）〖长城高山8〗</t>
  </si>
  <si>
    <t>赵奔康</t>
  </si>
  <si>
    <t>田丰</t>
  </si>
  <si>
    <t>奇瑞风云T11┋方程豹钛7</t>
  </si>
  <si>
    <t>思行</t>
  </si>
  <si>
    <t>赵长坤</t>
  </si>
  <si>
    <t>胡易</t>
  </si>
  <si>
    <t>零跑D19┋奇瑞风云T11┋方程豹钛7</t>
  </si>
  <si>
    <t>马骏</t>
  </si>
  <si>
    <t>女士</t>
  </si>
  <si>
    <t>晏腾</t>
  </si>
  <si>
    <t>吉利银河M9┋零跑C16┋零跑D19┋奇瑞风云T11┋方程豹钛7┋问界系列┋其他（小鹏、理想、蔚来、乐道、岚图、深蓝系列等等）〖深蓝s07〗</t>
  </si>
  <si>
    <t>褚园园</t>
  </si>
  <si>
    <t>张</t>
  </si>
  <si>
    <t>苗宪立</t>
  </si>
  <si>
    <t>魏寿源</t>
  </si>
  <si>
    <t>丁亚军</t>
  </si>
  <si>
    <t>主动安全（如AEB等）</t>
  </si>
  <si>
    <t>黄世生</t>
  </si>
  <si>
    <t>县城及乡镇道路为主┋城乡往返兼顾┋山区/非铺装路面居多</t>
  </si>
  <si>
    <t>吉利银河M9┋零跑C16┋奇瑞风云T11┋方程豹钛7┋问界系列┋其他（小鹏、理想、蔚来、乐道、岚图、深蓝系列等等）</t>
  </si>
  <si>
    <t>蔡伟杰</t>
  </si>
  <si>
    <t>郑易</t>
  </si>
  <si>
    <t>防尘抗造┋通过性强、底盘高┋省油省电</t>
  </si>
  <si>
    <t>周勇</t>
  </si>
  <si>
    <t>曹永青</t>
  </si>
  <si>
    <t>零跑C16┋零跑D19</t>
  </si>
  <si>
    <t>葛瑞</t>
  </si>
  <si>
    <t>曾俊斌</t>
  </si>
  <si>
    <t>防尘抗造┋省油省电┋空间大能装</t>
  </si>
  <si>
    <t>零跑C16┋零跑D19┋奇瑞风云T11┋其他（小鹏、理想、蔚来、乐道、岚图、深蓝系列等等）〖东风奕派008，捷途山海l7plus，蓝电E5plus〗</t>
  </si>
  <si>
    <t>郑瑞泽</t>
  </si>
  <si>
    <t>家庭优先，买车优先考虑家用需求</t>
  </si>
  <si>
    <t>空间大能装</t>
  </si>
  <si>
    <t>魏先生</t>
  </si>
  <si>
    <t>精致小资，注重用车体验和细节┋理性精打，会反复对比再决定</t>
  </si>
  <si>
    <t>邹淼</t>
  </si>
  <si>
    <t>高智琳</t>
  </si>
  <si>
    <t>方程豹钛7┋问界系列</t>
  </si>
  <si>
    <t>刘</t>
  </si>
  <si>
    <t>吉利银河M9┋零跑D19┋其他（小鹏、理想、蔚来、乐道、岚图、深蓝系列等等）〖比亚迪大唐〗</t>
  </si>
  <si>
    <t>黄云英</t>
  </si>
  <si>
    <t>覃泽东</t>
  </si>
  <si>
    <t>林曼辉</t>
  </si>
  <si>
    <t>防雨防潮┋通过性强、底盘高┋省油省电</t>
  </si>
  <si>
    <t>文斌</t>
  </si>
  <si>
    <t>方程豹钛7┋问界系列┋其他（小鹏、理想、蔚来、乐道、岚图、深蓝系列等等）〖腾势N8L〗</t>
  </si>
  <si>
    <t>余粤锋</t>
  </si>
  <si>
    <t>潮流尝鲜，喜欢尝试新品牌/新车型┋理性精打，会反复对比再决定</t>
  </si>
  <si>
    <t>零跑D19┋其他（小鹏、理想、蔚来、乐道、岚图、深蓝系列等等）</t>
  </si>
  <si>
    <t>马全</t>
  </si>
  <si>
    <t>傅子祺</t>
  </si>
  <si>
    <t>方程豹钛7┋问界系列┋其他（小鹏、理想、蔚来、乐道、岚图、深蓝系列等等）〖岚图知音〗</t>
  </si>
  <si>
    <t>金辉</t>
  </si>
  <si>
    <t>申大鹏</t>
  </si>
  <si>
    <t>陈一帆</t>
  </si>
  <si>
    <t>吉利银河M9┋零跑C16┋奇瑞风云T11</t>
  </si>
  <si>
    <t>熊川</t>
  </si>
  <si>
    <t>许翔</t>
  </si>
  <si>
    <t>王翔鸣</t>
  </si>
  <si>
    <t>张冬冬</t>
  </si>
  <si>
    <t>郭蔚华</t>
  </si>
  <si>
    <t>零跑C16┋零跑D19┋其他（小鹏、理想、蔚来、乐道、岚图、深蓝系列等等）〖岚图泰山〗</t>
  </si>
  <si>
    <t>丁晨晟</t>
  </si>
  <si>
    <t>黄信超</t>
  </si>
  <si>
    <t>吴波</t>
  </si>
  <si>
    <t>黄小英</t>
  </si>
  <si>
    <t>吉利银河M9┋方程豹钛7</t>
  </si>
  <si>
    <t>钱菲</t>
  </si>
  <si>
    <t>游改亚</t>
  </si>
  <si>
    <t>郭嘉诚</t>
  </si>
  <si>
    <t>零跑C16┋其他（小鹏、理想、蔚来、乐道、岚图、深蓝系列等等）〖深蓝s09〗</t>
  </si>
  <si>
    <t>朱健</t>
  </si>
  <si>
    <t>曹</t>
  </si>
  <si>
    <t>零跑C16┋零跑D19┋方程豹钛7┋问界系列┋其他（小鹏、理想、蔚来、乐道、岚图、深蓝系列等等）</t>
  </si>
  <si>
    <t>黄鑫</t>
  </si>
  <si>
    <t>吉利银河M9┋零跑D19┋奇瑞风云T11┋问界系列</t>
  </si>
  <si>
    <t>贾玉龙</t>
  </si>
  <si>
    <t>王世磊</t>
  </si>
  <si>
    <t>其他（小鹏、理想、蔚来、乐道、岚图、深蓝系列等等）〖不关注〗</t>
  </si>
  <si>
    <t>齐先生</t>
  </si>
  <si>
    <t>方程豹钛7┋其他（小鹏、理想、蔚来、乐道、岚图、深蓝系列等等）〖岚图〗</t>
  </si>
  <si>
    <t>欧潜</t>
  </si>
  <si>
    <t>王享昆</t>
  </si>
  <si>
    <t>零跑D19┋奇瑞风云T11</t>
  </si>
  <si>
    <t>艾先生</t>
  </si>
  <si>
    <t>黄志鹏</t>
  </si>
  <si>
    <t>王鹏</t>
  </si>
  <si>
    <t>城乡往返兼顾┋高速长途居多┋山区/非铺装路面居多</t>
  </si>
  <si>
    <t>王培宁</t>
  </si>
  <si>
    <t>韦学军</t>
  </si>
  <si>
    <t>其他（小鹏、理想、蔚来、乐道、岚图、深蓝系列等等）〖新款蔚来ES8  ES9〗</t>
  </si>
  <si>
    <t>周倩</t>
  </si>
  <si>
    <t>杨复然</t>
  </si>
  <si>
    <t>防雨防潮┋通过性强、底盘高┋安全配置高</t>
  </si>
  <si>
    <t>零跑C16┋问界系列</t>
  </si>
  <si>
    <t>王林</t>
  </si>
  <si>
    <t>巫涛</t>
  </si>
  <si>
    <t>零跑D19┋奇瑞风云T11┋问界系列</t>
  </si>
  <si>
    <t>裴帅</t>
  </si>
  <si>
    <t>理性精打，会反复对比再决定</t>
  </si>
  <si>
    <t>耐寒/防冻┋省油省电┋空间大能装</t>
  </si>
  <si>
    <t>零跑C16┋零跑D19┋问界系列</t>
  </si>
  <si>
    <t>李邦海</t>
  </si>
  <si>
    <t>吉利银河M9┋零跑D19┋奇瑞风云T11┋方程豹钛7┋其他（小鹏、理想、蔚来、乐道、岚图、深蓝系列等等）〖智几ls8〗</t>
  </si>
  <si>
    <t>李道杰</t>
  </si>
  <si>
    <t>耐寒/防冻┋空间大能装</t>
  </si>
  <si>
    <t>许玉冲</t>
  </si>
  <si>
    <t>防雨防潮┋通过性强、底盘高┋空间大能装</t>
  </si>
  <si>
    <t>陈懿</t>
  </si>
  <si>
    <t>肖傲龙</t>
  </si>
  <si>
    <t>张磊</t>
  </si>
  <si>
    <t>尚银增</t>
  </si>
  <si>
    <t>豪爽大气，看中眼缘就愿意下单┋家庭优先，买车优先考虑家用需求</t>
  </si>
  <si>
    <t>王凡</t>
  </si>
  <si>
    <t>李泰权</t>
  </si>
  <si>
    <t>李疏航</t>
  </si>
  <si>
    <t>吉利银河M9┋零跑C16┋奇瑞风云T11┋方程豹钛7┋其他（小鹏、理想、蔚来、乐道、岚图、深蓝系列等等）〖深蓝〗</t>
  </si>
  <si>
    <t>吴震</t>
  </si>
  <si>
    <t>唐源</t>
  </si>
  <si>
    <t>覃治斌</t>
  </si>
  <si>
    <t>黄小珍</t>
  </si>
  <si>
    <t>杨</t>
  </si>
  <si>
    <t>程先生</t>
  </si>
  <si>
    <t>赵坤</t>
  </si>
  <si>
    <t>注重品牌，愿意为品牌/档次买单┋潮流尝鲜，喜欢尝试新品牌/新车型</t>
  </si>
  <si>
    <t>耐寒/防冻</t>
  </si>
  <si>
    <t>李贺</t>
  </si>
  <si>
    <t>吉利银河M9┋问界系列</t>
  </si>
  <si>
    <t>张贺</t>
  </si>
  <si>
    <t>注重品牌，愿意为品牌/档次买单┋精致小资，注重用车体验和细节</t>
  </si>
  <si>
    <t>潘姿霖</t>
  </si>
  <si>
    <t>王先生</t>
  </si>
  <si>
    <t>李明</t>
  </si>
  <si>
    <t>防雨防潮┋省油省电┋空间大能装</t>
  </si>
  <si>
    <t>孙文钧</t>
  </si>
  <si>
    <t>陈龙</t>
  </si>
  <si>
    <t>奇瑞风云T11┋问界系列┋其他（小鹏、理想、蔚来、乐道、岚图、深蓝系列等等）〖丰田皇冠陆放〗</t>
  </si>
  <si>
    <t>谢先生</t>
  </si>
  <si>
    <t>张赫</t>
  </si>
  <si>
    <t>理性精打，会反复对比再决定┋家庭优先，买车优先考虑家用需求</t>
  </si>
  <si>
    <t>侯孝雷</t>
  </si>
  <si>
    <t>王琪琛</t>
  </si>
  <si>
    <t>零跑C16┋其他（小鹏、理想、蔚来、乐道、岚图、深蓝系列等等）〖东风奕派008〗</t>
  </si>
  <si>
    <t>范文正</t>
  </si>
  <si>
    <t>张光</t>
  </si>
  <si>
    <t>吉利银河M9┋其他（小鹏、理想、蔚来、乐道、岚图、深蓝系列等等）〖风云t11〗</t>
  </si>
  <si>
    <t>吴昊</t>
  </si>
  <si>
    <t>樊玉</t>
  </si>
  <si>
    <t>贾雨寒</t>
  </si>
  <si>
    <t>耐寒/防冻┋通过性强、底盘高┋省油省电</t>
  </si>
  <si>
    <t>王善思</t>
  </si>
  <si>
    <t>耐寒/防冻┋防雨防潮</t>
  </si>
  <si>
    <t>宁晴</t>
  </si>
  <si>
    <t>覃鲁</t>
  </si>
  <si>
    <t>王杰</t>
  </si>
  <si>
    <t>覃钰凯</t>
  </si>
  <si>
    <t>蔡富广</t>
  </si>
  <si>
    <t>林欣</t>
  </si>
  <si>
    <t>黄文华</t>
  </si>
  <si>
    <t>张双江</t>
  </si>
  <si>
    <t>吉利银河M9┋零跑D19┋其他（小鹏、理想、蔚来、乐道、岚图、深蓝系列等等）〖蔚来〗</t>
  </si>
  <si>
    <t>其他（小鹏、理想、蔚来、乐道、岚图、深蓝系列等等）〖蔚来〗</t>
  </si>
  <si>
    <t>武文波</t>
  </si>
  <si>
    <t>零跑D19┋问界系列┋其他（小鹏、理想、蔚来、乐道、岚图、深蓝系列等等）〖理想和岚图〗</t>
  </si>
  <si>
    <t>罗雄</t>
  </si>
  <si>
    <t>其他（小鹏、理想、蔚来、乐道、岚图、深蓝系列等等）〖虎9系列及风行V9〗</t>
  </si>
  <si>
    <t>周晴</t>
  </si>
  <si>
    <t>李海平</t>
  </si>
  <si>
    <t>吉利银河M9┋奇瑞风云T11┋方程豹钛7┋问界系列</t>
  </si>
  <si>
    <t>齐莹莹</t>
  </si>
  <si>
    <t>李剑</t>
  </si>
  <si>
    <t>徐嘉</t>
  </si>
  <si>
    <t>零跑D19┋方程豹钛7┋问界系列┋其他（小鹏、理想、蔚来、乐道、岚图、深蓝系列等等）〖智己8〗</t>
  </si>
  <si>
    <t>胡波</t>
  </si>
  <si>
    <t>张华宇</t>
  </si>
  <si>
    <t>城乡往返兼顾┋高速长途居多</t>
  </si>
  <si>
    <t>魏泉</t>
  </si>
  <si>
    <t>省油省电</t>
  </si>
  <si>
    <t>李亚超</t>
  </si>
  <si>
    <t>零跑D19┋其他（小鹏、理想、蔚来、乐道、岚图、深蓝系列等等）〖大唐〗</t>
  </si>
  <si>
    <t>汪润</t>
  </si>
  <si>
    <t>张春峰</t>
  </si>
  <si>
    <t>徐德昀</t>
  </si>
  <si>
    <t>吉利银河M9┋方程豹钛7┋问界系列┋其他（小鹏、理想、蔚来、乐道、岚图、深蓝系列等等）〖梦想家〗</t>
  </si>
  <si>
    <t>谢永峥</t>
  </si>
  <si>
    <t>李杨</t>
  </si>
  <si>
    <t>高速长途居多┋山区/非铺装路面居多</t>
  </si>
  <si>
    <t>秦黄莉</t>
  </si>
  <si>
    <t>林映君</t>
  </si>
  <si>
    <t>郑涛</t>
  </si>
  <si>
    <t>吉利银河M9┋零跑C16┋零跑D19┋其他（小鹏、理想、蔚来、乐道、岚图、深蓝系列等等）〖岚图free+〗</t>
  </si>
  <si>
    <t>王珏玮</t>
  </si>
  <si>
    <t>刘特涛</t>
  </si>
  <si>
    <t>刘飞</t>
  </si>
  <si>
    <t>陈丁丁</t>
  </si>
  <si>
    <t>侯明清</t>
  </si>
  <si>
    <t>王昭君</t>
  </si>
  <si>
    <t>潮流尝鲜，喜欢尝试新品牌/新车型┋豪爽大气，看中眼缘就愿意下单</t>
  </si>
  <si>
    <t>周杨</t>
  </si>
  <si>
    <t>王玉</t>
  </si>
  <si>
    <t>任雪曼</t>
  </si>
  <si>
    <t>宋九振</t>
  </si>
  <si>
    <t>赵先生</t>
  </si>
  <si>
    <t>其他（小鹏、理想、蔚来、乐道、岚图、深蓝系列等等）〖岚图蔚来〗</t>
  </si>
  <si>
    <t>杨先生</t>
  </si>
  <si>
    <t>防雨防潮┋防尘抗造┋安全配置高</t>
  </si>
  <si>
    <t>零跑D19┋问界系列┋其他（小鹏、理想、蔚来、乐道、岚图、深蓝系列等等）〖大唐〗</t>
  </si>
  <si>
    <t>肖正银</t>
  </si>
  <si>
    <t>吉利银河M9┋零跑C16┋零跑D19┋问界系列</t>
  </si>
  <si>
    <t>蒲波</t>
  </si>
  <si>
    <t>王启军</t>
  </si>
  <si>
    <t>单天德</t>
  </si>
  <si>
    <t>徐兴航</t>
  </si>
  <si>
    <t>薛博文</t>
  </si>
  <si>
    <t>奇瑞风云T11</t>
  </si>
  <si>
    <t>耐寒/防冻┋防尘抗造┋空间大能装</t>
  </si>
  <si>
    <t>其他（小鹏、理想、蔚来、乐道、岚图、深蓝系列等等）〖智己ls9.大众9x.腾势n8〗</t>
  </si>
  <si>
    <t>防雨防潮</t>
  </si>
  <si>
    <t>马晓龙</t>
  </si>
  <si>
    <t>李远灯</t>
  </si>
  <si>
    <t>吉利银河M9┋零跑C16┋零跑D19┋其他（小鹏、理想、蔚来、乐道、岚图、深蓝系列等等）〖大唐〗</t>
  </si>
  <si>
    <t>李园园</t>
  </si>
  <si>
    <t>精致小资，注重用车体验和细节┋家庭优先，买车优先考虑家用需求</t>
  </si>
  <si>
    <t>王军</t>
  </si>
  <si>
    <t>吉利银河M9┋零跑D19┋奇瑞风云T11┋其他（小鹏、理想、蔚来、乐道、岚图、深蓝系列等等）〖小鹏〗</t>
  </si>
  <si>
    <t>辛海龙</t>
  </si>
  <si>
    <t>王斌</t>
  </si>
  <si>
    <t>吉利银河M9┋零跑D19┋奇瑞风云T11┋方程豹钛7┋问界系列┋其他（小鹏、理想、蔚来、乐道、岚图、深蓝系列等等）〖方程豹豹5〗</t>
  </si>
  <si>
    <t>卢鑫</t>
  </si>
  <si>
    <t>吉利银河M9┋方程豹钛7┋其他（小鹏、理想、蔚来、乐道、岚图、深蓝系列等等）〖高山8〗</t>
  </si>
  <si>
    <t>任开春</t>
  </si>
  <si>
    <t>秦志京</t>
  </si>
  <si>
    <t>吉利银河M9┋零跑C16┋零跑D19┋其他（小鹏、理想、蔚来、乐道、岚图、深蓝系列等等）〖乐道l90租电〗</t>
  </si>
  <si>
    <t>沙汉</t>
  </si>
  <si>
    <t>王敏</t>
  </si>
  <si>
    <t>舒畅</t>
  </si>
  <si>
    <t>王海军</t>
  </si>
  <si>
    <t>郭静</t>
  </si>
  <si>
    <t>防雨防潮┋防尘抗造┋省油省电</t>
  </si>
  <si>
    <t>泊车辅助功能APA</t>
  </si>
  <si>
    <t>杨清红</t>
  </si>
  <si>
    <t>方程豹钛7┋其他（小鹏、理想、蔚来、乐道、岚图、深蓝系列等等）〖哈弗猛龙〗</t>
  </si>
  <si>
    <t>方程豹钛7┋其他（小鹏、理想、蔚来、乐道、岚图、深蓝系列等等）〖哈弗猛龙，魏牌蓝山〗</t>
  </si>
  <si>
    <t>尹建康</t>
  </si>
  <si>
    <t>付剑鹏</t>
  </si>
  <si>
    <t>其他（小鹏、理想、蔚来、乐道、岚图、深蓝系列等等）〖深蓝s09〗</t>
  </si>
  <si>
    <t>胡孝文</t>
  </si>
  <si>
    <t>刘杨</t>
  </si>
  <si>
    <t>史庆楠</t>
  </si>
  <si>
    <t>防尘抗造┋省油省电</t>
  </si>
  <si>
    <t>李</t>
  </si>
  <si>
    <t>李广照</t>
  </si>
  <si>
    <t>吉利银河M9┋奇瑞风云T11┋其他（小鹏、理想、蔚来、乐道、岚图、深蓝系列等等）</t>
  </si>
  <si>
    <t>姜新意</t>
  </si>
  <si>
    <t>牛立浩</t>
  </si>
  <si>
    <t>沙明磊</t>
  </si>
  <si>
    <t>姚强</t>
  </si>
  <si>
    <t>潘耀耀</t>
  </si>
  <si>
    <t>廖世强</t>
  </si>
  <si>
    <t>披着羊皮的馕</t>
  </si>
  <si>
    <t>付杰</t>
  </si>
  <si>
    <t>韩永康</t>
  </si>
  <si>
    <t>秦勇</t>
  </si>
  <si>
    <t>马辉</t>
  </si>
  <si>
    <t>注重品牌，愿意为品牌/档次买单┋理性精打，会反复对比再决定</t>
  </si>
  <si>
    <t>杨雪冬</t>
  </si>
  <si>
    <t>颜雪梅</t>
  </si>
  <si>
    <t>精致小资，注重用车体验和细节</t>
  </si>
  <si>
    <t>贺琳博</t>
  </si>
  <si>
    <t>侯金波</t>
  </si>
  <si>
    <t>张安落</t>
  </si>
  <si>
    <t>聂凤莲</t>
  </si>
  <si>
    <t>耐寒/防冻┋省油省电┋安全配置高</t>
  </si>
  <si>
    <t>奇瑞风云T11┋问界系列┋其他（小鹏、理想、蔚来、乐道、岚图、深蓝系列等等）</t>
  </si>
  <si>
    <t>张龙</t>
  </si>
  <si>
    <t>赵迎辉</t>
  </si>
  <si>
    <t>杨刚</t>
  </si>
  <si>
    <t>刘庆</t>
  </si>
  <si>
    <t>陈康</t>
  </si>
  <si>
    <t>赵薇</t>
  </si>
  <si>
    <t>李泽明</t>
  </si>
  <si>
    <t>杨汉卫</t>
  </si>
  <si>
    <t>吉利银河M9┋零跑C16┋零跑D19┋方程豹钛7</t>
  </si>
  <si>
    <t>田雨</t>
  </si>
  <si>
    <t>孙巍芝</t>
  </si>
  <si>
    <t>张先生</t>
  </si>
  <si>
    <t>史先欢</t>
  </si>
  <si>
    <t>蒋博</t>
  </si>
  <si>
    <t>零跑C16┋零跑D19┋其他（小鹏、理想、蔚来、乐道、岚图、深蓝系列等等）〖奕派008〗</t>
  </si>
  <si>
    <t>张智勇</t>
  </si>
  <si>
    <t>张越</t>
  </si>
  <si>
    <t>吉利银河M9┋零跑C16┋零跑D19┋奇瑞风云T11┋方程豹钛7┋其他（小鹏、理想、蔚来、乐道、岚图、深蓝系列等等）〖零跑A10〗</t>
  </si>
  <si>
    <t>李志乐</t>
  </si>
  <si>
    <t>吉利银河M9┋其他（小鹏、理想、蔚来、乐道、岚图、深蓝系列等等）</t>
  </si>
  <si>
    <t>翟楠</t>
  </si>
  <si>
    <t>郑中雨</t>
  </si>
  <si>
    <t>谢刚</t>
  </si>
  <si>
    <t>吉利银河M9┋方程豹钛7┋问界系列┋其他（小鹏、理想、蔚来、乐道、岚图、深蓝系列等等）〖岚图〗</t>
  </si>
  <si>
    <t>高永年</t>
  </si>
  <si>
    <t>张超超</t>
  </si>
  <si>
    <t>通过性强、底盘高┋省油省电</t>
  </si>
  <si>
    <t>陈大功</t>
  </si>
  <si>
    <t>黄再康</t>
  </si>
  <si>
    <t>吉利银河M9┋零跑C16┋奇瑞风云T11┋其他（小鹏、理想、蔚来、乐道、岚图、深蓝系列等等）〖红旗hs6 phev〗</t>
  </si>
  <si>
    <t>卢永琳</t>
  </si>
  <si>
    <t>李欢</t>
  </si>
  <si>
    <t>葛玉峰</t>
  </si>
  <si>
    <t>李士瑄</t>
  </si>
  <si>
    <t>王飘飘</t>
  </si>
  <si>
    <t>龚晓盼</t>
  </si>
  <si>
    <t>崔明强</t>
  </si>
  <si>
    <t>张冲</t>
  </si>
  <si>
    <t>田婵娟</t>
  </si>
  <si>
    <t>张启艳</t>
  </si>
  <si>
    <t>张鑫</t>
  </si>
  <si>
    <t>吉利银河M9┋零跑C16┋零跑D19┋奇瑞风云T11┋问界系列┋其他（小鹏、理想、蔚来、乐道、岚图、深蓝系列等等）</t>
  </si>
  <si>
    <t>何林</t>
  </si>
  <si>
    <t>王硕</t>
  </si>
  <si>
    <t>焦雷</t>
  </si>
  <si>
    <t>汪琳</t>
  </si>
  <si>
    <t>吉利银河M9┋零跑D19┋奇瑞风云T11┋方程豹钛7┋其他（小鹏、理想、蔚来、乐道、岚图、深蓝系列等等）〖传祺s09〗</t>
  </si>
  <si>
    <t>郑兴文</t>
  </si>
  <si>
    <t>李小朋</t>
  </si>
  <si>
    <t>吉利银河M9┋零跑C16┋零跑D19┋奇瑞风云T11┋其他（小鹏、理想、蔚来、乐道、岚图、深蓝系列等等）</t>
  </si>
  <si>
    <t>晏启志</t>
  </si>
  <si>
    <t>陈建</t>
  </si>
  <si>
    <t>伍鹏辉</t>
  </si>
  <si>
    <t>吉利银河M9┋零跑C16┋零跑D19┋方程豹钛7┋问界系列</t>
  </si>
  <si>
    <t>石赵赞</t>
  </si>
  <si>
    <t>刘奎榜</t>
  </si>
  <si>
    <t>吉利银河M9┋零跑D19┋问界系列┋其他（小鹏、理想、蔚来、乐道、岚图、深蓝系列等等）〖Es8〗</t>
  </si>
  <si>
    <t>孙逸凡</t>
  </si>
  <si>
    <t>韩</t>
  </si>
  <si>
    <t>吉利银河M9┋零跑D19┋奇瑞风云T11┋其他（小鹏、理想、蔚来、乐道、岚图、深蓝系列等等）〖深蓝So9比亚迪大唐〗</t>
  </si>
  <si>
    <t>魏昌明</t>
  </si>
  <si>
    <t>刘世杰</t>
  </si>
  <si>
    <t>王泽恒</t>
  </si>
  <si>
    <t>刘先生</t>
  </si>
  <si>
    <t>纪晓凤</t>
  </si>
  <si>
    <t>周琦</t>
  </si>
  <si>
    <t>胡颢严</t>
  </si>
  <si>
    <t>李鹏</t>
  </si>
  <si>
    <t>张钊</t>
  </si>
  <si>
    <t>赵西阳</t>
  </si>
  <si>
    <t>迟可睿</t>
  </si>
  <si>
    <t>田强</t>
  </si>
  <si>
    <t>张杰涛</t>
  </si>
  <si>
    <t>零跑D19┋其他（小鹏、理想、蔚来、乐道、岚图、深蓝系列等等）〖乐道L90智己ls6岚图知音〗</t>
  </si>
  <si>
    <t>党国伟</t>
  </si>
  <si>
    <t>沈通</t>
  </si>
  <si>
    <t>吉利银河M9┋零跑C16┋零跑D19┋奇瑞风云T11┋问界系列┋其他（小鹏、理想、蔚来、乐道、岚图、深蓝系列等等）〖二手比亚迪夏，明年二手比亚迪大唐，豪越L，库斯图，二手问界M7，2026款传祺M8纯油〗</t>
  </si>
  <si>
    <t>杨领</t>
  </si>
  <si>
    <t>向亮</t>
  </si>
  <si>
    <t>陈昶佐</t>
  </si>
  <si>
    <t>李超</t>
  </si>
  <si>
    <t>刘永强</t>
  </si>
  <si>
    <t>冯锐</t>
  </si>
  <si>
    <t>陈先生</t>
  </si>
  <si>
    <t>王俊鹏</t>
  </si>
  <si>
    <t>周婷婷</t>
  </si>
  <si>
    <t>王文彬</t>
  </si>
  <si>
    <t>唐弢</t>
  </si>
  <si>
    <t>王锋</t>
  </si>
  <si>
    <t>理性精打，会反复对比再决定┋豪爽大气，看中眼缘就愿意下单</t>
  </si>
  <si>
    <t>陈安彬</t>
  </si>
  <si>
    <t>潘梓通</t>
  </si>
  <si>
    <t>梁锐</t>
  </si>
  <si>
    <t>郭晓东</t>
  </si>
  <si>
    <t>问界系列┋其他（小鹏、理想、蔚来、乐道、岚图、深蓝系列等等）〖深蓝S09〗</t>
  </si>
  <si>
    <t>杨家栋</t>
  </si>
  <si>
    <t>王文选</t>
  </si>
  <si>
    <t>宋扬</t>
  </si>
  <si>
    <t>零跑D19┋问界系列┋其他（小鹏、理想、蔚来、乐道、岚图、深蓝系列等等）</t>
  </si>
  <si>
    <t>崔龙</t>
  </si>
  <si>
    <t>零跑D19┋其他（小鹏、理想、蔚来、乐道、岚图、深蓝系列等等）〖智己LS8、乐道L90〗</t>
  </si>
  <si>
    <t>黄俊晖</t>
  </si>
  <si>
    <t>其他（小鹏、理想、蔚来、乐道、岚图、深蓝系列等等）〖小米〗</t>
  </si>
  <si>
    <t>匡锋锋</t>
  </si>
  <si>
    <t>吉利银河M9┋零跑D19┋奇瑞风云T11┋其他（小鹏、理想、蔚来、乐道、岚图、深蓝系列等等）〖乐道 L90〗</t>
  </si>
  <si>
    <t>王俞</t>
  </si>
  <si>
    <t>城市市区通勤为主┋山区/非铺装路面居多</t>
  </si>
  <si>
    <t>陈伟柯</t>
  </si>
  <si>
    <t>吕壮壮</t>
  </si>
  <si>
    <t>边福强</t>
  </si>
  <si>
    <t>方程豹钛7┋其他（小鹏、理想、蔚来、乐道、岚图、深蓝系列等等）</t>
  </si>
  <si>
    <t>孙传勇</t>
  </si>
  <si>
    <t>徐强</t>
  </si>
  <si>
    <t>吉利银河M9┋其他（小鹏、理想、蔚来、乐道、岚图、深蓝系列等等）〖比亚迪大唐〗</t>
  </si>
  <si>
    <t>王灿锋</t>
  </si>
  <si>
    <t>周瑜松</t>
  </si>
  <si>
    <t>陈英博</t>
  </si>
  <si>
    <t>张永刚</t>
  </si>
  <si>
    <t>吴东奇</t>
  </si>
  <si>
    <t>卢瑞民</t>
  </si>
  <si>
    <t>覃家猛</t>
  </si>
  <si>
    <t>周泽仁</t>
  </si>
  <si>
    <t>零跑C16┋零跑D19┋方程豹钛7┋其他（小鹏、理想、蔚来、乐道、岚图、深蓝系列等等）〖深蓝S07〗</t>
  </si>
  <si>
    <t>张安娜</t>
  </si>
  <si>
    <t>李纯照</t>
  </si>
  <si>
    <t>方程豹钛7┋问界系列┋其他（小鹏、理想、蔚来、乐道、岚图、深蓝系列等等）</t>
  </si>
  <si>
    <t>施昭辉</t>
  </si>
  <si>
    <t>袁淑红</t>
  </si>
  <si>
    <t>葛鹏飞</t>
  </si>
  <si>
    <t>胡松军</t>
  </si>
  <si>
    <t>银思绮</t>
  </si>
  <si>
    <t>城市领航辅助NCA┋其他〖代客泊车和车位到车位。〗</t>
  </si>
  <si>
    <t>陈守团</t>
  </si>
  <si>
    <t>陈俊宇</t>
  </si>
  <si>
    <t>城市市区通勤为主┋县城及乡镇道路为主┋山区/非铺装路面居多</t>
  </si>
  <si>
    <t>朱爽</t>
  </si>
  <si>
    <t>田子懿</t>
  </si>
  <si>
    <t>卓地儒</t>
  </si>
  <si>
    <t>耐寒/防冻┋空间大能装┋安全配置高</t>
  </si>
  <si>
    <t>王革</t>
  </si>
  <si>
    <t>零跑C16┋方程豹钛7</t>
  </si>
  <si>
    <t>陈茂林</t>
  </si>
  <si>
    <t>吉利银河M9┋奇瑞风云T11┋其他（小鹏、理想、蔚来、乐道、岚图、深蓝系列等等）〖岚图〗</t>
  </si>
  <si>
    <t>齐佳</t>
  </si>
  <si>
    <t>张文斌</t>
  </si>
  <si>
    <t>李凌云</t>
  </si>
  <si>
    <t>吉利银河M9┋零跑D19┋奇瑞风云T11┋其他（小鹏、理想、蔚来、乐道、岚图、深蓝系列等等）〖比亚迪大唐，海狮08〗</t>
  </si>
  <si>
    <t>朱玉强</t>
  </si>
  <si>
    <t>刘洋</t>
  </si>
  <si>
    <t>其他（小鹏、理想、蔚来、乐道、岚图、深蓝系列等等）〖五菱星光L〗</t>
  </si>
  <si>
    <t>邱斌</t>
  </si>
  <si>
    <t>贾红祥</t>
  </si>
  <si>
    <t>刘世臣</t>
  </si>
  <si>
    <t>冯云</t>
  </si>
  <si>
    <t>伍晓龙</t>
  </si>
  <si>
    <t>赵俊</t>
  </si>
  <si>
    <t>肖银龙</t>
  </si>
  <si>
    <t>范珉</t>
  </si>
  <si>
    <t>韦雪君</t>
  </si>
  <si>
    <t>陆新春</t>
  </si>
  <si>
    <t>方程豹钛7┋其他（小鹏、理想、蔚来、乐道、岚图、深蓝系列等等）〖岚图Free+，尚界H5〗</t>
  </si>
  <si>
    <t>张鹏</t>
  </si>
  <si>
    <t>吴春鑫</t>
  </si>
  <si>
    <t>赵文杰</t>
  </si>
  <si>
    <t>彭紫祎</t>
  </si>
  <si>
    <t>吉利银河M9┋零跑D19┋奇瑞风云T11┋其他（小鹏、理想、蔚来、乐道、岚图、深蓝系列等等）〖乐道L90〗</t>
  </si>
  <si>
    <t>韦伟</t>
  </si>
  <si>
    <t>吉利银河M9┋零跑C16┋奇瑞风云T11┋方程豹钛7</t>
  </si>
  <si>
    <t>魏永贵</t>
  </si>
  <si>
    <t>县城及乡镇道路为主┋城乡往返兼顾┋高速长途居多</t>
  </si>
  <si>
    <t>龙运川</t>
  </si>
  <si>
    <t>吉利银河M9┋奇瑞风云T11┋其他（小鹏、理想、蔚来、乐道、岚图、深蓝系列等等）〖深蓝〗</t>
  </si>
  <si>
    <t>禹李波</t>
  </si>
  <si>
    <t>安子煜</t>
  </si>
  <si>
    <t>陈家豪</t>
  </si>
  <si>
    <t>吉利银河M9┋零跑D19┋其他（小鹏、理想、蔚来、乐道、岚图、深蓝系列等等）〖捷途，小米yu7〗</t>
  </si>
  <si>
    <t>灿灿</t>
  </si>
  <si>
    <t>赵胤凯</t>
  </si>
  <si>
    <t>注重品牌，愿意为品牌/档次买单┋豪爽大气，看中眼缘就愿意下单</t>
  </si>
  <si>
    <t>张海</t>
  </si>
  <si>
    <t>刘强</t>
  </si>
  <si>
    <t>问界系列┋其他（小鹏、理想、蔚来、乐道、岚图、深蓝系列等等）〖小鹏G9GX比亚迪大唐〗</t>
  </si>
  <si>
    <t>朱林</t>
  </si>
  <si>
    <t>杨峰</t>
  </si>
  <si>
    <t>吉利银河M9┋方程豹钛7┋问界系列┋其他（小鹏、理想、蔚来、乐道、岚图、深蓝系列等等）</t>
  </si>
  <si>
    <t>赵强</t>
  </si>
  <si>
    <t>吴雄毅</t>
  </si>
  <si>
    <t>闫硕</t>
  </si>
  <si>
    <t>吕妍</t>
  </si>
  <si>
    <t>何新</t>
  </si>
  <si>
    <t>沈金鹏</t>
  </si>
  <si>
    <t>吉利银河M9┋零跑D19┋其他（小鹏、理想、蔚来、乐道、岚图、深蓝系列等等）〖五菱星光L〗</t>
  </si>
  <si>
    <t>郑延奇</t>
  </si>
  <si>
    <t>耐寒/防冻┋防尘抗造┋安全配置高</t>
  </si>
  <si>
    <t>陈世峰</t>
  </si>
  <si>
    <t>徐巍</t>
  </si>
  <si>
    <t>蒋霜</t>
  </si>
  <si>
    <t>问界系列┋其他（小鹏、理想、蔚来、乐道、岚图、深蓝系列等等）〖理想，昊铂〗</t>
  </si>
  <si>
    <t>田涛</t>
  </si>
  <si>
    <t>邱海涛</t>
  </si>
  <si>
    <t>朱成博</t>
  </si>
  <si>
    <t>徐东山</t>
  </si>
  <si>
    <t>零跑D19┋奇瑞风云T11┋问界系列┋其他（小鹏、理想、蔚来、乐道、岚图、深蓝系列等等）〖岚图〗</t>
  </si>
  <si>
    <t>尤女士</t>
  </si>
  <si>
    <t>王涵</t>
  </si>
  <si>
    <t>其他（小鹏、理想、蔚来、乐道、岚图、深蓝系列等等）〖问界〗</t>
  </si>
  <si>
    <t>颜刚</t>
  </si>
  <si>
    <t>黄禄元</t>
  </si>
  <si>
    <t>厉霞</t>
  </si>
  <si>
    <t>梅超</t>
  </si>
  <si>
    <t>谭鹏</t>
  </si>
  <si>
    <t>刘英宝</t>
  </si>
  <si>
    <t>武威</t>
  </si>
  <si>
    <t>杨伟贤</t>
  </si>
  <si>
    <t>方程豹钛7┋其他（小鹏、理想、蔚来、乐道、岚图、深蓝系列等等）〖G7〗</t>
  </si>
  <si>
    <t>张利明</t>
  </si>
  <si>
    <t>薛建波</t>
  </si>
  <si>
    <t>武雷</t>
  </si>
  <si>
    <t>吴佳欣</t>
  </si>
  <si>
    <t>田志强</t>
  </si>
  <si>
    <t>查远东</t>
  </si>
  <si>
    <t>刘仁财</t>
  </si>
  <si>
    <t>张超</t>
  </si>
  <si>
    <t>孙思</t>
  </si>
  <si>
    <t>姜海涛</t>
  </si>
  <si>
    <t>谢爱军</t>
  </si>
  <si>
    <t>潮流尝鲜，喜欢尝试新品牌/新车型┋相信大众，大众的选择肯定没错</t>
  </si>
  <si>
    <t>吉利银河M9┋零跑D19┋奇瑞风云T11┋问界系列┋其他（小鹏、理想、蔚来、乐道、岚图、深蓝系列等等）〖深蓝S09〗</t>
  </si>
  <si>
    <t>陈雪</t>
  </si>
  <si>
    <t>江玲珑</t>
  </si>
  <si>
    <t>吉利银河M9┋奇瑞风云T11┋方程豹钛7┋其他（小鹏、理想、蔚来、乐道、岚图、深蓝系列等等）〖比亚迪唐L〗</t>
  </si>
  <si>
    <t>王国龙</t>
  </si>
  <si>
    <t>张军</t>
  </si>
  <si>
    <t>聂敬宽</t>
  </si>
  <si>
    <t>朱龙清</t>
  </si>
  <si>
    <t>谢海勇</t>
  </si>
  <si>
    <t>关万灿</t>
  </si>
  <si>
    <t>林文超</t>
  </si>
  <si>
    <t>邓康权</t>
  </si>
  <si>
    <t>吉利银河M9┋零跑D19┋其他（小鹏、理想、蔚来、乐道、岚图、深蓝系列等等）〖魏牌蓝山〗</t>
  </si>
  <si>
    <t>吴洁</t>
  </si>
  <si>
    <t>张延明</t>
  </si>
  <si>
    <t>零跑C16┋其他（小鹏、理想、蔚来、乐道、岚图、深蓝系列等等）</t>
  </si>
  <si>
    <t>谢强</t>
  </si>
  <si>
    <t>张皓月</t>
  </si>
  <si>
    <t>林先生</t>
  </si>
  <si>
    <t>邹正芳</t>
  </si>
  <si>
    <t>郭立强</t>
  </si>
  <si>
    <t>郑永宽</t>
  </si>
  <si>
    <t>劉偉超</t>
  </si>
  <si>
    <t>冯丽洁</t>
  </si>
  <si>
    <t>周依飞</t>
  </si>
  <si>
    <t>袁丞</t>
  </si>
  <si>
    <t>叶均</t>
  </si>
  <si>
    <t>余向阳</t>
  </si>
  <si>
    <t>屈姗</t>
  </si>
  <si>
    <t>李冬棣</t>
  </si>
  <si>
    <t>肖志均</t>
  </si>
  <si>
    <t>杨文戴</t>
  </si>
  <si>
    <t>吉利银河M9┋零跑C16┋零跑D19┋其他（小鹏、理想、蔚来、乐道、岚图、深蓝系列等等）〖唐L，唐dmi〗</t>
  </si>
  <si>
    <t>杨凯</t>
  </si>
  <si>
    <t>钟庆</t>
  </si>
  <si>
    <t>柴伟峰</t>
  </si>
  <si>
    <t>吉利银河M9┋零跑D19┋奇瑞风云T11┋方程豹钛7┋其他（小鹏、理想、蔚来、乐道、岚图、深蓝系列等等）〖比亚迪大唐海狮08〗</t>
  </si>
  <si>
    <t>黄</t>
  </si>
  <si>
    <t>吉利银河M9┋零跑D19┋奇瑞风云T11┋其他（小鹏、理想、蔚来、乐道、岚图、深蓝系列等等）〖L90〗</t>
  </si>
  <si>
    <t>宋欢</t>
  </si>
  <si>
    <t>罗杨</t>
  </si>
  <si>
    <t>其他（小鹏、理想、蔚来、乐道、岚图、深蓝系列等等）〖比亚迪，深蓝〗</t>
  </si>
  <si>
    <t>叶泽勇</t>
  </si>
  <si>
    <t>刘美凤</t>
  </si>
  <si>
    <t>袁海刚</t>
  </si>
  <si>
    <t>吉利银河M9┋零跑C16┋方程豹钛7</t>
  </si>
  <si>
    <t>丁亮</t>
  </si>
  <si>
    <t>陈晓玲</t>
  </si>
  <si>
    <t>相信大众，大众的选择肯定没错</t>
  </si>
  <si>
    <t>吴俊鑫</t>
  </si>
  <si>
    <t>零跑D19┋方程豹钛7┋其他（小鹏、理想、蔚来、乐道、岚图、深蓝系列等等）〖大唐〗</t>
  </si>
  <si>
    <t>袁由柱</t>
  </si>
  <si>
    <t>方程豹钛7┋问界系列┋其他（小鹏、理想、蔚来、乐道、岚图、深蓝系列等等）〖M6、腾势Z9GT、尚界Z7GT、启镜G7GT、大唐、LS8、岚图X8、即将发布新款L90〗</t>
  </si>
  <si>
    <t>张方庆</t>
  </si>
  <si>
    <t>马俊南</t>
  </si>
  <si>
    <t>王庆华</t>
  </si>
  <si>
    <t>吉利银河M9┋零跑C16┋奇瑞风云T11┋其他（小鹏、理想、蔚来、乐道、岚图、深蓝系列等等）〖奕派〗</t>
  </si>
  <si>
    <t>林燕平</t>
  </si>
  <si>
    <t>吁伟</t>
  </si>
  <si>
    <t>其他（小鹏、理想、蔚来、乐道、岚图、深蓝系列等等）〖别克E7〗</t>
  </si>
  <si>
    <t>刘逸峰</t>
  </si>
  <si>
    <t>吉利银河M9┋零跑C16┋方程豹钛7┋其他（小鹏、理想、蔚来、乐道、岚图、深蓝系列等等）</t>
  </si>
  <si>
    <t>张志强</t>
  </si>
  <si>
    <t>吉利银河M9┋零跑D19┋方程豹钛7┋问界系列┋其他（小鹏、理想、蔚来、乐道、岚图、深蓝系列等等）〖智己LS 9，蔚来LS9〗</t>
  </si>
  <si>
    <t>韩世斌</t>
  </si>
  <si>
    <t>吉利银河M9┋其他（小鹏、理想、蔚来、乐道、岚图、深蓝系列等等）〖海豹08，大唐〗</t>
  </si>
  <si>
    <t>吉利银河M9┋方程豹钛7┋问界系列┋其他（小鹏、理想、蔚来、乐道、岚图、深蓝系列等等）〖理想ES8〗</t>
  </si>
  <si>
    <t>范祥虎</t>
  </si>
  <si>
    <t>吉利银河M9┋零跑D19┋奇瑞风云T11┋其他（小鹏、理想、蔚来、乐道、岚图、深蓝系列等等）〖蔚来〗</t>
  </si>
  <si>
    <t>任晓磊</t>
  </si>
  <si>
    <t>封杰</t>
  </si>
  <si>
    <t>張新荣</t>
  </si>
  <si>
    <t>零跑C16┋奇瑞风云T11┋方程豹钛7┋其他（小鹏、理想、蔚来、乐道、岚图、深蓝系列等等）〖东风一派008〗</t>
  </si>
  <si>
    <t>彭理奖</t>
  </si>
  <si>
    <t>吕昊宸</t>
  </si>
  <si>
    <t>徐夫海</t>
  </si>
  <si>
    <t>牧</t>
  </si>
  <si>
    <t>王仕成</t>
  </si>
  <si>
    <t>王一楠</t>
  </si>
  <si>
    <t>周高飞</t>
  </si>
  <si>
    <t>雷育波</t>
  </si>
  <si>
    <t>杨少娟</t>
  </si>
  <si>
    <t>马丹</t>
  </si>
  <si>
    <t>罗岩松</t>
  </si>
  <si>
    <t>王波</t>
  </si>
  <si>
    <t>冯彦霖</t>
  </si>
  <si>
    <t>董伟</t>
  </si>
  <si>
    <t>杨志杰</t>
  </si>
  <si>
    <t>魏鑫磊</t>
  </si>
  <si>
    <t>王</t>
  </si>
  <si>
    <t>孙晓光</t>
  </si>
  <si>
    <t>张正阳</t>
  </si>
  <si>
    <t>奇瑞风云T11┋方程豹钛7┋其他（小鹏、理想、蔚来、乐道、岚图、深蓝系列等等）</t>
  </si>
  <si>
    <t>汪洋</t>
  </si>
  <si>
    <t>赵芳魁</t>
  </si>
  <si>
    <t>王治军</t>
  </si>
  <si>
    <t>杨诚</t>
  </si>
  <si>
    <t>吉利银河M9┋奇瑞风云T11┋问界系列┋其他（小鹏、理想、蔚来、乐道、岚图、深蓝系列等等）〖梦想家〗</t>
  </si>
  <si>
    <t>雍先生</t>
  </si>
  <si>
    <t>吉利银河M9┋零跑C16┋奇瑞风云T11┋其他（小鹏、理想、蔚来、乐道、岚图、深蓝系列等等）</t>
  </si>
  <si>
    <t>肖羽</t>
  </si>
  <si>
    <t>田堃鹏</t>
  </si>
  <si>
    <t>黄兴建</t>
  </si>
  <si>
    <t>邹田</t>
  </si>
  <si>
    <t>王志涛</t>
  </si>
  <si>
    <t>陈福</t>
  </si>
  <si>
    <t>卢锦宝</t>
  </si>
  <si>
    <t>游建民</t>
  </si>
  <si>
    <t>王宁</t>
  </si>
  <si>
    <t>奇瑞风云T11┋方程豹钛7┋问界系列</t>
  </si>
  <si>
    <t>李雪锋</t>
  </si>
  <si>
    <t>杜铸岗</t>
  </si>
  <si>
    <t>张琦</t>
  </si>
  <si>
    <t>吉利银河M9┋零跑D19┋奇瑞风云T11┋其他（小鹏、理想、蔚来、乐道、岚图、深蓝系列等等）</t>
  </si>
  <si>
    <t>何滨</t>
  </si>
  <si>
    <t>龚开浪</t>
  </si>
  <si>
    <t>朱乐乐</t>
  </si>
  <si>
    <t>邹尚妘</t>
  </si>
  <si>
    <t>赵化勇</t>
  </si>
  <si>
    <t>魏奕</t>
  </si>
  <si>
    <t>田女士</t>
  </si>
  <si>
    <t>黄少珍</t>
  </si>
  <si>
    <t>辛光</t>
  </si>
  <si>
    <t>高宇</t>
  </si>
  <si>
    <t>罗文宇</t>
  </si>
  <si>
    <t>吉利银河M9┋零跑D19┋问界系列┋其他（小鹏、理想、蔚来、乐道、岚图、深蓝系列等等）〖智己〗</t>
  </si>
  <si>
    <t>赵密</t>
  </si>
  <si>
    <t>李兰鹏</t>
  </si>
  <si>
    <t>吉利银河M9┋零跑D19┋其他（小鹏、理想、蔚来、乐道、岚图、深蓝系列等等）〖L90〗</t>
  </si>
  <si>
    <t>曹斌</t>
  </si>
  <si>
    <t>蒋竹</t>
  </si>
  <si>
    <t>城市市区通勤为主┋城乡往返兼顾┋山区/非铺装路面居多</t>
  </si>
  <si>
    <t>尹志通</t>
  </si>
  <si>
    <t>姜高杰</t>
  </si>
  <si>
    <t>耿显明</t>
  </si>
  <si>
    <t>李阳</t>
  </si>
  <si>
    <t>何冬冬</t>
  </si>
  <si>
    <t>其他（小鹏、理想、蔚来、乐道、岚图、深蓝系列等等）〖理想〗</t>
  </si>
  <si>
    <t>张女士</t>
  </si>
  <si>
    <t>李女士</t>
  </si>
  <si>
    <t>耐寒/防冻┋防雨防潮┋防尘抗造</t>
  </si>
  <si>
    <t>刘少楼</t>
  </si>
  <si>
    <t>零跑C16┋问界系列┋其他（小鹏、理想、蔚来、乐道、岚图、深蓝系列等等）〖深蓝〗</t>
  </si>
  <si>
    <t>张首红</t>
  </si>
  <si>
    <t>孙顺风</t>
  </si>
  <si>
    <t>万永慧</t>
  </si>
  <si>
    <t>问界系列┋其他（小鹏、理想、蔚来、乐道、岚图、深蓝系列等等）〖阿维塔，深蓝〗</t>
  </si>
  <si>
    <t>李庆</t>
  </si>
  <si>
    <t>问界系列┋其他（小鹏、理想、蔚来、乐道、岚图、深蓝系列等等）〖深蓝〗</t>
  </si>
  <si>
    <t>谭剑毅</t>
  </si>
  <si>
    <t>郑晓哲</t>
  </si>
  <si>
    <t>耐寒/防冻┋防雨防潮┋安全配置高</t>
  </si>
  <si>
    <t>何家辉</t>
  </si>
  <si>
    <t>吉利银河M9┋零跑C16┋零跑D19┋奇瑞风云T11┋方程豹钛7┋其他（小鹏、理想、蔚来、乐道、岚图、深蓝系列等等）</t>
  </si>
  <si>
    <t>王老师</t>
  </si>
  <si>
    <t>覃玉权</t>
  </si>
  <si>
    <t>陈汉君</t>
  </si>
  <si>
    <t>贺飞</t>
  </si>
  <si>
    <t>零跑C16┋奇瑞风云T11┋方程豹钛7┋问界系列</t>
  </si>
  <si>
    <t>吴先生</t>
  </si>
  <si>
    <t>梁沛华</t>
  </si>
  <si>
    <t>魏琨</t>
  </si>
  <si>
    <t>蔡翀</t>
  </si>
  <si>
    <t>其他（小鹏、理想、蔚来、乐道、岚图、深蓝系列等等）〖深蓝〗</t>
  </si>
  <si>
    <t>唐国民</t>
  </si>
  <si>
    <t>宋奎</t>
  </si>
  <si>
    <t>王金松</t>
  </si>
  <si>
    <t>徐春天</t>
  </si>
  <si>
    <t>刘锐</t>
  </si>
  <si>
    <t>柏森传</t>
  </si>
  <si>
    <t>闫凯文</t>
  </si>
  <si>
    <t>吴冬雪</t>
  </si>
  <si>
    <t>孟伟文</t>
  </si>
  <si>
    <t>张传富</t>
  </si>
  <si>
    <t>程洋</t>
  </si>
  <si>
    <t>方程豹钛7┋问界系列┋其他（小鹏、理想、蔚来、乐道、岚图、深蓝系列等等）〖小鹏x9，智己LS8〗</t>
  </si>
  <si>
    <t>任超文</t>
  </si>
  <si>
    <t>杨星雨</t>
  </si>
  <si>
    <t>王洪良</t>
  </si>
  <si>
    <t>蒙朝</t>
  </si>
  <si>
    <t>李旺旺</t>
  </si>
  <si>
    <t>顾少响</t>
  </si>
  <si>
    <t>张伟</t>
  </si>
  <si>
    <t>闫培龙</t>
  </si>
  <si>
    <t>兰冬洋</t>
  </si>
  <si>
    <t>陈广宇</t>
  </si>
  <si>
    <t>钟鑫叶</t>
  </si>
  <si>
    <t>老王</t>
  </si>
  <si>
    <t>张雪萌</t>
  </si>
  <si>
    <t>刘朝雨</t>
  </si>
  <si>
    <t>子龙</t>
  </si>
  <si>
    <t>孙立衔</t>
  </si>
  <si>
    <t>罗青</t>
  </si>
  <si>
    <t>零跑D19┋奇瑞风云T11┋其他（小鹏、理想、蔚来、乐道、岚图、深蓝系列等等）〖N60〗</t>
  </si>
  <si>
    <t>零跑C16┋奇瑞风云T11</t>
  </si>
  <si>
    <t>黄志恒</t>
  </si>
  <si>
    <t>李四才</t>
  </si>
  <si>
    <t>吉利银河M9┋零跑D19┋其他（小鹏、理想、蔚来、乐道、岚图、深蓝系列等等）〖l09〗</t>
  </si>
  <si>
    <t>陈晓伟</t>
  </si>
  <si>
    <t>盖广雨</t>
  </si>
  <si>
    <t>庞尚英</t>
  </si>
  <si>
    <t>张臣</t>
  </si>
  <si>
    <t>饶毅彬</t>
  </si>
  <si>
    <t>张欣</t>
  </si>
  <si>
    <t>刘晓</t>
  </si>
  <si>
    <t>蓝华杰</t>
  </si>
  <si>
    <t>亓杰杰</t>
  </si>
  <si>
    <t>徐生</t>
  </si>
  <si>
    <t>理性精打，会反复对比再决定┋相信大众，大众的选择肯定没错</t>
  </si>
  <si>
    <t>孙小峰</t>
  </si>
  <si>
    <t>何秋怡</t>
  </si>
  <si>
    <t>李巾巾</t>
  </si>
  <si>
    <t>张佳程</t>
  </si>
  <si>
    <t>张贺伟</t>
  </si>
  <si>
    <t>祝洪光</t>
  </si>
  <si>
    <t>范记斌</t>
  </si>
  <si>
    <t>杨波</t>
  </si>
  <si>
    <t>豪爽大气，看中眼缘就愿意下单</t>
  </si>
  <si>
    <t>韩壮志</t>
  </si>
  <si>
    <t>罗泳欣</t>
  </si>
  <si>
    <t>林亦可</t>
  </si>
  <si>
    <t>李时尚</t>
  </si>
  <si>
    <t>汪凡</t>
  </si>
  <si>
    <t>朱抖抖</t>
  </si>
  <si>
    <t>刘蕾</t>
  </si>
  <si>
    <t>吉利银河M9┋零跑C16┋其他（小鹏、理想、蔚来、乐道、岚图、深蓝系列等等）</t>
  </si>
  <si>
    <t>朱志华</t>
  </si>
  <si>
    <t>尹宇兴</t>
  </si>
  <si>
    <t>零跑C16┋零跑D19┋奇瑞风云T11┋其他（小鹏、理想、蔚来、乐道、岚图、深蓝系列等等）</t>
  </si>
  <si>
    <t>杨妤</t>
  </si>
  <si>
    <t>徐彤</t>
  </si>
  <si>
    <t>潮流尝鲜，喜欢尝试新品牌/新车型</t>
  </si>
  <si>
    <t>杜旭</t>
  </si>
  <si>
    <t>防雨防潮┋空间大能装┋安全配置高</t>
  </si>
  <si>
    <t>方</t>
  </si>
  <si>
    <t>陈晓君</t>
  </si>
  <si>
    <t>阮莉</t>
  </si>
  <si>
    <t>周贤萍</t>
  </si>
  <si>
    <t>豪爽大气，看中眼缘就愿意下单┋相信大众，大众的选择肯定没错</t>
  </si>
  <si>
    <t>树林</t>
  </si>
  <si>
    <t>杨炉有</t>
  </si>
  <si>
    <t>其他（小鹏、理想、蔚来、乐道、岚图、深蓝系列等等）〖GL8〗</t>
  </si>
  <si>
    <t>雍锦程</t>
  </si>
  <si>
    <t>农好</t>
  </si>
  <si>
    <t>邬雨波</t>
  </si>
  <si>
    <t>周了了</t>
  </si>
  <si>
    <t>吴培培</t>
  </si>
  <si>
    <t>零跑C16┋零跑D19┋方程豹钛7</t>
  </si>
  <si>
    <t>王彦昊</t>
  </si>
  <si>
    <t>迟亚杰</t>
  </si>
  <si>
    <t>赵洋博</t>
  </si>
  <si>
    <t>亓子豪</t>
  </si>
  <si>
    <t>城乡往返兼顾┋山区/非铺装路面居多</t>
  </si>
  <si>
    <t>吕先生</t>
  </si>
  <si>
    <t>陈</t>
  </si>
  <si>
    <t>李明亚</t>
  </si>
  <si>
    <t>韩荣久</t>
  </si>
  <si>
    <t>迟新锁</t>
  </si>
  <si>
    <t>张亚洲</t>
  </si>
  <si>
    <t>零跑D19┋奇瑞风云T11┋方程豹钛7┋问界系列</t>
  </si>
  <si>
    <t>吴建新</t>
  </si>
  <si>
    <t>姬祥</t>
  </si>
  <si>
    <t>马晓东</t>
  </si>
  <si>
    <t>高芳圆</t>
  </si>
  <si>
    <t>彭占领</t>
  </si>
  <si>
    <t>胡凯翔</t>
  </si>
  <si>
    <t>李政</t>
  </si>
  <si>
    <t>何翠英</t>
  </si>
  <si>
    <t>陈梁</t>
  </si>
  <si>
    <t>吉利银河M9┋零跑D19┋奇瑞风云T11┋方程豹钛7┋问界系列┋其他（小鹏、理想、蔚来、乐道、岚图、深蓝系列等等）〖乐道L90，传祺E8〗</t>
  </si>
  <si>
    <t>吴晓辉</t>
  </si>
  <si>
    <t>罗建华</t>
  </si>
  <si>
    <t>叶茂俊</t>
  </si>
  <si>
    <t>零跑D19┋问界系列┋其他（小鹏、理想、蔚来、乐道、岚图、深蓝系列等等）〖比亚迪〗</t>
  </si>
  <si>
    <t>杨宗齐</t>
  </si>
  <si>
    <t>韩小飞</t>
  </si>
  <si>
    <t>唐志坚</t>
  </si>
  <si>
    <t>谭丽丽</t>
  </si>
  <si>
    <t>何生</t>
  </si>
  <si>
    <t>王豪</t>
  </si>
  <si>
    <t>何振东</t>
  </si>
  <si>
    <t>赖小姐</t>
  </si>
  <si>
    <t>刘斌</t>
  </si>
  <si>
    <t>张岩</t>
  </si>
  <si>
    <t>何巨</t>
  </si>
  <si>
    <t>杜先生</t>
  </si>
  <si>
    <t>陈锦鹏</t>
  </si>
  <si>
    <t>耐寒/防冻┋防尘抗造</t>
  </si>
  <si>
    <t>黎谦</t>
  </si>
  <si>
    <t>陆义敏</t>
  </si>
  <si>
    <t>李新伟</t>
  </si>
  <si>
    <t>刘德宽</t>
  </si>
  <si>
    <t>李春娇</t>
  </si>
  <si>
    <t>姜刘佳</t>
  </si>
  <si>
    <t>朱达善</t>
  </si>
  <si>
    <t>郝利芬</t>
  </si>
  <si>
    <t>吕紫丹</t>
  </si>
  <si>
    <t>黄俊</t>
  </si>
  <si>
    <t>吉利银河M9┋零跑D19┋奇瑞风云T11┋其他（小鹏、理想、蔚来、乐道、岚图、深蓝系列等等）〖岚图〗</t>
  </si>
  <si>
    <t>段志金</t>
  </si>
  <si>
    <t>刘阳</t>
  </si>
  <si>
    <t>薛海峰</t>
  </si>
  <si>
    <t>崔晓攀</t>
  </si>
  <si>
    <t>黄女士</t>
  </si>
  <si>
    <t>严永宏</t>
  </si>
  <si>
    <t>零跑C16┋方程豹钛7┋其他（小鹏、理想、蔚来、乐道、岚图、深蓝系列等等）</t>
  </si>
  <si>
    <t>赵李铭</t>
  </si>
  <si>
    <t>哲宇</t>
  </si>
  <si>
    <t>张家棣</t>
  </si>
  <si>
    <t>汤欣悦</t>
  </si>
  <si>
    <t>贾歌谣</t>
  </si>
  <si>
    <t>申帅帅</t>
  </si>
  <si>
    <t>司徒圣凡</t>
  </si>
  <si>
    <t>其他（小鹏、理想、蔚来、乐道、岚图、深蓝系列等等）〖没有〗</t>
  </si>
  <si>
    <t>黄登斌</t>
  </si>
  <si>
    <t>胡女士</t>
  </si>
  <si>
    <t>伍亿梦</t>
  </si>
  <si>
    <t>其他（小鹏、理想、蔚来、乐道、岚图、深蓝系列等等）〖小鹏〗</t>
  </si>
  <si>
    <t>沈谷林</t>
  </si>
  <si>
    <t>刘凯</t>
  </si>
  <si>
    <t>幸劲钦</t>
  </si>
  <si>
    <t>章宁</t>
  </si>
  <si>
    <t>王平</t>
  </si>
  <si>
    <t>零跑D19┋其他（小鹏、理想、蔚来、乐道、岚图、深蓝系列等等）〖比亚迪大唐〗</t>
  </si>
  <si>
    <t>刘春云</t>
  </si>
  <si>
    <t>余作义</t>
  </si>
  <si>
    <t>零跑D19┋其他（小鹏、理想、蔚来、乐道、岚图、深蓝系列等等）〖长城魏派〗</t>
  </si>
  <si>
    <t>李毅</t>
  </si>
  <si>
    <t>袁慧敏</t>
  </si>
  <si>
    <t>问界系列┋其他（小鹏、理想、蔚来、乐道、岚图、深蓝系列等等）〖岚图〗</t>
  </si>
  <si>
    <t>零跑C16┋奇瑞风云T11┋方程豹钛7</t>
  </si>
  <si>
    <t>张波</t>
  </si>
  <si>
    <t>问界系列┋其他（小鹏、理想、蔚来、乐道、岚图、深蓝系列等等）〖小鹏理想比亚迪〗</t>
  </si>
  <si>
    <t>黄河</t>
  </si>
  <si>
    <t>吉利银河M9┋零跑D19┋问界系列┋其他（小鹏、理想、蔚来、乐道、岚图、深蓝系列等等）</t>
  </si>
  <si>
    <t>韩晓明</t>
  </si>
  <si>
    <t>蒋献东</t>
  </si>
  <si>
    <t>史乐民</t>
  </si>
  <si>
    <t>郭经理</t>
  </si>
  <si>
    <t>零跑C16┋奇瑞风云T11┋问界系列</t>
  </si>
  <si>
    <t>曹洪峰</t>
  </si>
  <si>
    <t>马菁</t>
  </si>
  <si>
    <t>吉利银河M9┋零跑C16┋奇瑞风云T11┋问界系列┋其他（小鹏、理想、蔚来、乐道、岚图、深蓝系列等等）〖比亚迪唐，大唐，东风日产nx8〗</t>
  </si>
  <si>
    <t>童安林</t>
  </si>
  <si>
    <t>董黎明</t>
  </si>
  <si>
    <t>薛朝海</t>
  </si>
  <si>
    <t>朱佩芳</t>
  </si>
  <si>
    <t>零跑D19┋其他（小鹏、理想、蔚来、乐道、岚图、深蓝系列等等）〖乐道L90〗</t>
  </si>
  <si>
    <t>苏中玖</t>
  </si>
  <si>
    <t>零跑C16┋奇瑞风云T11┋方程豹钛7┋问界系列┋其他（小鹏、理想、蔚来、乐道、岚图、深蓝系列等等）</t>
  </si>
  <si>
    <t>屈云骧</t>
  </si>
  <si>
    <t>王世琛</t>
  </si>
  <si>
    <t>韩豫璋</t>
  </si>
  <si>
    <t>王科</t>
  </si>
  <si>
    <t>耐寒/防冻┋防雨防潮┋省油省电</t>
  </si>
  <si>
    <t>零跑D19┋方程豹钛7┋其他（小鹏、理想、蔚来、乐道、岚图、深蓝系列等等）</t>
  </si>
  <si>
    <t>楊棃萱</t>
  </si>
  <si>
    <t>沈二宝</t>
  </si>
  <si>
    <t>陈锦昌</t>
  </si>
  <si>
    <t>吉利银河M9┋零跑D19┋奇瑞风云T11┋问界系列┋其他（小鹏、理想、蔚来、乐道、岚图、深蓝系列等等）</t>
  </si>
  <si>
    <t>林万亮</t>
  </si>
  <si>
    <t>零跑D19┋其他（小鹏、理想、蔚来、乐道、岚图、深蓝系列等等）〖岚图、深蓝〗</t>
  </si>
  <si>
    <t>曲晓文</t>
  </si>
  <si>
    <t>李雷锋</t>
  </si>
  <si>
    <t>注重品牌，愿意为品牌/档次买单┋相信大众，大众的选择肯定没错</t>
  </si>
  <si>
    <t>县城及乡镇道路为主┋山区/非铺装路面居多</t>
  </si>
  <si>
    <t>蒋增强</t>
  </si>
  <si>
    <t>刘忠良</t>
  </si>
  <si>
    <t>邹俊</t>
  </si>
  <si>
    <t>吉利银河M9┋零跑D19┋其他（小鹏、理想、蔚来、乐道、岚图、深蓝系列等等）〖深蓝S09〗</t>
  </si>
  <si>
    <t>徐博</t>
  </si>
  <si>
    <t>李方舟</t>
  </si>
  <si>
    <t>仇吉星</t>
  </si>
  <si>
    <t>张峰</t>
  </si>
  <si>
    <t>常文静</t>
  </si>
  <si>
    <t>李文炜</t>
  </si>
  <si>
    <t>蒋雯</t>
  </si>
  <si>
    <t>彭丽娟</t>
  </si>
  <si>
    <t>万海浪</t>
  </si>
  <si>
    <t>高晓东</t>
  </si>
  <si>
    <t>零跑D19┋其他（小鹏、理想、蔚来、乐道、岚图、深蓝系列等等）〖岚图和深蓝〗</t>
  </si>
  <si>
    <t>邵雷</t>
  </si>
  <si>
    <t>王金波</t>
  </si>
  <si>
    <t>吉利银河M9┋问界系列┋其他（小鹏、理想、蔚来、乐道、岚图、深蓝系列等等）</t>
  </si>
  <si>
    <t>李杰</t>
  </si>
  <si>
    <t>罗文斌</t>
  </si>
  <si>
    <t>王若滨</t>
  </si>
  <si>
    <t>其他（小鹏、理想、蔚来、乐道、岚图、深蓝系列等等）〖比亚迪〗</t>
  </si>
  <si>
    <t>周晶晶</t>
  </si>
  <si>
    <t>黄思成</t>
  </si>
  <si>
    <t>杨笑</t>
  </si>
  <si>
    <t>陈珍曦</t>
  </si>
  <si>
    <t>冯磊</t>
  </si>
  <si>
    <t>吕玲</t>
  </si>
  <si>
    <t>吉利银河M9┋其他（小鹏、理想、蔚来、乐道、岚图、深蓝系列等等）〖东风奕派〗</t>
  </si>
  <si>
    <t>叶哺</t>
  </si>
  <si>
    <t>零跑C16┋方程豹钛7┋其他（小鹏、理想、蔚来、乐道、岚图、深蓝系列等等）〖小米Yu7〗</t>
  </si>
  <si>
    <t>刘威</t>
  </si>
  <si>
    <t>王莹</t>
  </si>
  <si>
    <t>张长鹏</t>
  </si>
  <si>
    <t>吉利银河M9┋零跑D19┋奇瑞风云T11┋方程豹钛7┋问界系列</t>
  </si>
  <si>
    <t>林万峰</t>
  </si>
  <si>
    <t>其他（小鹏、理想、蔚来、乐道、岚图、深蓝系列等等）〖小米su7〗</t>
  </si>
  <si>
    <t>李亮</t>
  </si>
  <si>
    <t>其他（小鹏、理想、蔚来、乐道、岚图、深蓝系列等等）〖高山〗</t>
  </si>
  <si>
    <t>王媛鸽</t>
  </si>
  <si>
    <t>张琪</t>
  </si>
  <si>
    <t>宋晓辉</t>
  </si>
  <si>
    <t>王思亮</t>
  </si>
  <si>
    <t>王江涛</t>
  </si>
  <si>
    <t>其他（小鹏、理想、蔚来、乐道、岚图、深蓝系列等等）〖岚图〗</t>
  </si>
  <si>
    <t>方夕宁</t>
  </si>
  <si>
    <t>左忠</t>
  </si>
  <si>
    <t>零跑D19┋奇瑞风云T11┋问界系列┋其他（小鹏、理想、蔚来、乐道、岚图、深蓝系列等等）</t>
  </si>
  <si>
    <t>冯俊张</t>
  </si>
  <si>
    <t>褚衍宇</t>
  </si>
  <si>
    <t>郭平川</t>
  </si>
  <si>
    <t>防尘抗造┋安全配置高</t>
  </si>
  <si>
    <t>吉利银河M9┋零跑D19┋奇瑞风云T11┋其他（小鹏、理想、蔚来、乐道、岚图、深蓝系列等等）〖腾势N8L〗</t>
  </si>
  <si>
    <t>黄文玲</t>
  </si>
  <si>
    <t>罗能</t>
  </si>
  <si>
    <t>王亚楠</t>
  </si>
  <si>
    <t>罗璋竑</t>
  </si>
  <si>
    <t>陈文生</t>
  </si>
  <si>
    <t>朱耀星</t>
  </si>
  <si>
    <t>零跑C16┋零跑D19┋奇瑞风云T11┋方程豹钛7┋问界系列</t>
  </si>
  <si>
    <t>周建成</t>
  </si>
  <si>
    <t>其他（小鹏、理想、蔚来、乐道、岚图、深蓝系列等等）〖华为系合作的车型还有理想，偏家用〗</t>
  </si>
  <si>
    <t>钟棒</t>
  </si>
  <si>
    <t>周明杰</t>
  </si>
  <si>
    <t>宋兵</t>
  </si>
  <si>
    <t>奇瑞风云T11┋其他（小鹏、理想、蔚来、乐道、岚图、深蓝系列等等）〖传奇s09,蓝山〗</t>
  </si>
  <si>
    <t>王文龙</t>
  </si>
  <si>
    <t>刘洪云</t>
  </si>
  <si>
    <t>余吉圳</t>
  </si>
  <si>
    <t>兰张柳</t>
  </si>
  <si>
    <t>曾泽明</t>
  </si>
  <si>
    <t>刘旭</t>
  </si>
  <si>
    <t>其他（小鹏、理想、蔚来、乐道、岚图、深蓝系列等等）〖特斯拉〗</t>
  </si>
  <si>
    <t>曹晖</t>
  </si>
  <si>
    <t>鄧國輝</t>
  </si>
  <si>
    <t>刘炳华</t>
  </si>
  <si>
    <t>许子嵩</t>
  </si>
  <si>
    <t>曹恒超</t>
  </si>
  <si>
    <t>陈许东</t>
  </si>
  <si>
    <t>其他〖以上4项〗</t>
  </si>
  <si>
    <t>梅昌武</t>
  </si>
  <si>
    <t>鲍相垚</t>
  </si>
  <si>
    <t>杨琦</t>
  </si>
  <si>
    <t>赵贵龙</t>
  </si>
  <si>
    <t>王欢</t>
  </si>
  <si>
    <t>毕兴旗</t>
  </si>
  <si>
    <t>叶志刚</t>
  </si>
  <si>
    <t>赵永增</t>
  </si>
  <si>
    <t>罗渝</t>
  </si>
  <si>
    <t>李铁库</t>
  </si>
  <si>
    <t>宫苗苗</t>
  </si>
  <si>
    <t>徐洪强</t>
  </si>
  <si>
    <t>张阔</t>
  </si>
  <si>
    <t>黄宇</t>
  </si>
  <si>
    <t>吉利银河M9┋零跑D19┋方程豹钛7┋其他（小鹏、理想、蔚来、乐道、岚图、深蓝系列等等）</t>
  </si>
  <si>
    <t>邵帅</t>
  </si>
  <si>
    <t>唐瑶</t>
  </si>
  <si>
    <t>李小忠</t>
  </si>
  <si>
    <t>刘继成</t>
  </si>
  <si>
    <t>刘勇</t>
  </si>
  <si>
    <t>甘雨</t>
  </si>
  <si>
    <t>陈亮</t>
  </si>
  <si>
    <t>何伟</t>
  </si>
  <si>
    <t>丁文风</t>
  </si>
  <si>
    <t>郭海鑫</t>
  </si>
  <si>
    <t>黄晶晶</t>
  </si>
  <si>
    <t>韩帅</t>
  </si>
  <si>
    <t>杜乾坤</t>
  </si>
  <si>
    <t>杨骅</t>
  </si>
  <si>
    <t>邹传浩</t>
  </si>
  <si>
    <t>王婷</t>
  </si>
  <si>
    <t>关铁峰</t>
  </si>
  <si>
    <t>谌勇超</t>
  </si>
  <si>
    <t>牛丛秀</t>
  </si>
  <si>
    <t>方祥</t>
  </si>
  <si>
    <t>甘</t>
  </si>
  <si>
    <t>刘晋辰</t>
  </si>
  <si>
    <t>牛洪巨</t>
  </si>
  <si>
    <t>陈江</t>
  </si>
  <si>
    <t>邹博宇</t>
  </si>
  <si>
    <t>零跑D19┋方程豹钛7┋问界系列┋其他（小鹏、理想、蔚来、乐道、岚图、深蓝系列等等）</t>
  </si>
  <si>
    <t>张杰锋</t>
  </si>
  <si>
    <t>高勤</t>
  </si>
  <si>
    <t>李艳飞</t>
  </si>
  <si>
    <t>吉利银河M9┋问界系列┋其他（小鹏、理想、蔚来、乐道、岚图、深蓝系列等等）〖岚图泰山，极氪X9〗</t>
  </si>
  <si>
    <t>夏</t>
  </si>
  <si>
    <t>高美琳</t>
  </si>
  <si>
    <t>章晓彬</t>
  </si>
  <si>
    <t>陈晓倩</t>
  </si>
  <si>
    <t>庞程</t>
  </si>
  <si>
    <t>景超</t>
  </si>
  <si>
    <t>任朋堂</t>
  </si>
  <si>
    <t>王鋆</t>
  </si>
  <si>
    <t>杨赛</t>
  </si>
  <si>
    <t>孙先生</t>
  </si>
  <si>
    <t>赵铁宁</t>
  </si>
  <si>
    <t>郑锴</t>
  </si>
  <si>
    <t>吉利银河M9┋零跑C16┋零跑D19┋奇瑞风云T11┋方程豹钛7┋问界系列┋其他（小鹏、理想、蔚来、乐道、岚图、深蓝系列等等）〖比亚迪海狮系列〗</t>
  </si>
  <si>
    <t>占舒华</t>
  </si>
  <si>
    <t>蒋先生</t>
  </si>
  <si>
    <t>廖云川</t>
  </si>
  <si>
    <t>吉利银河M9┋零跑C16┋奇瑞风云T11┋方程豹钛7┋问界系列</t>
  </si>
  <si>
    <t>孙天伟</t>
  </si>
  <si>
    <t>吉利银河M9┋零跑D19┋奇瑞风云T11┋方程豹钛7┋其他（小鹏、理想、蔚来、乐道、岚图、深蓝系列等等）〖深蓝S07〗</t>
  </si>
  <si>
    <t>李青骏</t>
  </si>
  <si>
    <t>黎小波</t>
  </si>
  <si>
    <t>吉利银河M9┋零跑C16┋零跑D19┋其他（小鹏、理想、蔚来、乐道、岚图、深蓝系列等等）</t>
  </si>
  <si>
    <t>孙昱</t>
  </si>
  <si>
    <t>张霖</t>
  </si>
  <si>
    <t>熊陶</t>
  </si>
  <si>
    <t>吉利银河M9┋零跑D19┋方程豹钛7┋其他（小鹏、理想、蔚来、乐道、岚图、深蓝系列等等）〖小鹏、大唐〗</t>
  </si>
  <si>
    <t>强刘东</t>
  </si>
  <si>
    <t>朱</t>
  </si>
  <si>
    <t>孟宁</t>
  </si>
  <si>
    <t>张国宏</t>
  </si>
  <si>
    <t>钟留康</t>
  </si>
  <si>
    <t>邢国成</t>
  </si>
  <si>
    <t>其他（小鹏、理想、蔚来、乐道、岚图、深蓝系列等等）〖比亚迪夏〗</t>
  </si>
  <si>
    <t>宋龙</t>
  </si>
  <si>
    <t>问界系列┋其他（小鹏、理想、蔚来、乐道、岚图、深蓝系列等等）〖腾势D9 高山8 理想L8 别克GL8〗</t>
  </si>
  <si>
    <t>吴丹妮</t>
  </si>
  <si>
    <t>吉利银河M9┋零跑D19┋其他（小鹏、理想、蔚来、乐道、岚图、深蓝系列等等）〖比亚迪大唐、夏〗</t>
  </si>
  <si>
    <t>刘四海</t>
  </si>
  <si>
    <t>邓瑞</t>
  </si>
  <si>
    <t>康毅</t>
  </si>
  <si>
    <t>尤正</t>
  </si>
  <si>
    <t>郑泽平</t>
  </si>
  <si>
    <t>姜军委</t>
  </si>
  <si>
    <t>张帆</t>
  </si>
  <si>
    <t>赵文文</t>
  </si>
  <si>
    <t>问界系列┋其他（小鹏、理想、蔚来、乐道、岚图、深蓝系列等等）〖岚图、深蓝〗</t>
  </si>
  <si>
    <t>赵祝</t>
  </si>
  <si>
    <t>童君</t>
  </si>
  <si>
    <t>零跑D19┋问界系列┋其他（小鹏、理想、蔚来、乐道、岚图、深蓝系列等等）〖小鹏9x  理想L8〗</t>
  </si>
  <si>
    <t>刘星</t>
  </si>
  <si>
    <t>谷文平</t>
  </si>
  <si>
    <t>张建云</t>
  </si>
  <si>
    <t>杨杨</t>
  </si>
  <si>
    <t>胡建芬</t>
  </si>
  <si>
    <t>祖荣光</t>
  </si>
  <si>
    <t>张明</t>
  </si>
  <si>
    <t>王磊</t>
  </si>
  <si>
    <t>其他（小鹏、理想、蔚来、乐道、岚图、深蓝系列等等）〖长安启源Q07〗</t>
  </si>
  <si>
    <t>张永杰</t>
  </si>
  <si>
    <t>冯保平</t>
  </si>
  <si>
    <t>想起</t>
  </si>
  <si>
    <t>宁能辉</t>
  </si>
  <si>
    <t>何建辉</t>
  </si>
  <si>
    <t>梁宝瑜</t>
  </si>
  <si>
    <t>石有金</t>
  </si>
  <si>
    <t>徐浩然</t>
  </si>
  <si>
    <t>付勇</t>
  </si>
  <si>
    <t>许正午</t>
  </si>
  <si>
    <t>吉利银河M9┋零跑C16┋方程豹钛7┋问界系列</t>
  </si>
  <si>
    <t>王友松</t>
  </si>
  <si>
    <t>薛连锋</t>
  </si>
  <si>
    <t>其他（小鹏、理想、蔚来、乐道、岚图、深蓝系列等等）〖15万左右的车型〗</t>
  </si>
  <si>
    <t>韩君国</t>
  </si>
  <si>
    <t>梁芮伟</t>
  </si>
  <si>
    <t>吉利银河M9┋零跑D19┋奇瑞风云T11┋方程豹钛7┋其他（小鹏、理想、蔚来、乐道、岚图、深蓝系列等等）</t>
  </si>
  <si>
    <t>郭洪伟</t>
  </si>
  <si>
    <t>冯二磊</t>
  </si>
  <si>
    <t>耐寒/防冻┋防尘抗造┋省油省电</t>
  </si>
  <si>
    <t>孙守宪</t>
  </si>
  <si>
    <t>王克</t>
  </si>
  <si>
    <t>李政霖</t>
  </si>
  <si>
    <t>张慧</t>
  </si>
  <si>
    <t>连女士</t>
  </si>
  <si>
    <t>冯建国</t>
  </si>
  <si>
    <t>唐明轩</t>
  </si>
  <si>
    <t>傅桂荣</t>
  </si>
  <si>
    <t>吉利银河M9┋零跑D19┋其他（小鹏、理想、蔚来、乐道、岚图、深蓝系列等等）〖乐道〗</t>
  </si>
  <si>
    <t>张斌</t>
  </si>
  <si>
    <t>袁博</t>
  </si>
  <si>
    <t>郑华根</t>
  </si>
  <si>
    <t>吉利银河M9┋零跑D19┋奇瑞风云T11┋其他（小鹏、理想、蔚来、乐道、岚图、深蓝系列等等）〖蔚来es8〗</t>
  </si>
  <si>
    <t>秦</t>
  </si>
  <si>
    <t>吉利银河M9┋零跑D19┋奇瑞风云T11┋方程豹钛7┋其他（小鹏、理想、蔚来、乐道、岚图、深蓝系列等等）〖奕境，比亚迪大唐，海狮08〗</t>
  </si>
  <si>
    <t>秦维维</t>
  </si>
  <si>
    <t>张德贤</t>
  </si>
  <si>
    <t>徐杨</t>
  </si>
  <si>
    <t>雷阳</t>
  </si>
  <si>
    <t>黄洋</t>
  </si>
  <si>
    <t>宋海峰</t>
  </si>
  <si>
    <t>黄雅婧</t>
  </si>
  <si>
    <t>康先生</t>
  </si>
  <si>
    <t>周一良</t>
  </si>
  <si>
    <t>零跑D19┋问界系列┋其他（小鹏、理想、蔚来、乐道、岚图、深蓝系列等等）〖深蓝〗</t>
  </si>
  <si>
    <t>陈生海</t>
  </si>
  <si>
    <t>防尘抗造┋通过性强、底盘高</t>
  </si>
  <si>
    <t>汪贾</t>
  </si>
  <si>
    <t>冯光伟</t>
  </si>
  <si>
    <t>其他（小鹏、理想、蔚来、乐道、岚图、深蓝系列等等）〖五菱宏光mini〗</t>
  </si>
  <si>
    <t>杨洲</t>
  </si>
  <si>
    <t>杨亚</t>
  </si>
  <si>
    <t>林晨翔</t>
  </si>
  <si>
    <t>毛靖</t>
  </si>
  <si>
    <t>潘志明</t>
  </si>
  <si>
    <t>徐勇华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</si>
</sst>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38382;&#21367;&#12305;&#29992;&#25143;&#30011;&#20687;&#20998;&#26512;_04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清洗"/>
      <sheetName val="区域"/>
    </sheetNames>
    <sheetDataSet>
      <sheetData sheetId="0">
        <row r="2">
          <cell r="F2" t="str">
            <v>39.144.215.146(青海-西宁)</v>
          </cell>
        </row>
        <row r="2">
          <cell r="M2" t="str">
            <v>男</v>
          </cell>
        </row>
        <row r="3">
          <cell r="F3" t="str">
            <v>115.239.188.14(浙江-绍兴)</v>
          </cell>
        </row>
        <row r="3">
          <cell r="M3" t="str">
            <v>男</v>
          </cell>
        </row>
        <row r="4">
          <cell r="F4" t="str">
            <v>122.239.122.102(浙江-温州)</v>
          </cell>
        </row>
        <row r="4">
          <cell r="M4" t="str">
            <v>男</v>
          </cell>
        </row>
        <row r="5">
          <cell r="F5" t="str">
            <v>122.239.122.102(浙江-温州)</v>
          </cell>
        </row>
        <row r="5">
          <cell r="M5" t="str">
            <v>男</v>
          </cell>
        </row>
        <row r="6">
          <cell r="F6" t="str">
            <v>106.5.206.183(江西-萍乡)</v>
          </cell>
        </row>
        <row r="6">
          <cell r="M6" t="str">
            <v>男</v>
          </cell>
        </row>
        <row r="7">
          <cell r="F7" t="str">
            <v>106.224.89.101(江西-南昌)</v>
          </cell>
        </row>
        <row r="7">
          <cell r="M7" t="str">
            <v>男</v>
          </cell>
        </row>
        <row r="8">
          <cell r="F8" t="str">
            <v>117.168.37.12(江西-九江)</v>
          </cell>
        </row>
        <row r="8">
          <cell r="M8" t="str">
            <v>男</v>
          </cell>
        </row>
        <row r="9">
          <cell r="F9" t="str">
            <v>117.182.126.114(广西-柳州)</v>
          </cell>
        </row>
        <row r="9">
          <cell r="M9" t="str">
            <v>男</v>
          </cell>
        </row>
        <row r="10">
          <cell r="F10" t="str">
            <v>42.88.225.16(甘肃-金昌)</v>
          </cell>
        </row>
        <row r="10">
          <cell r="M10" t="str">
            <v>女</v>
          </cell>
        </row>
        <row r="11">
          <cell r="F11" t="str">
            <v>171.108.87.179(广西-南宁)</v>
          </cell>
        </row>
        <row r="11">
          <cell r="M11" t="str">
            <v>男</v>
          </cell>
        </row>
        <row r="12">
          <cell r="F12" t="str">
            <v>36.101.144.155(海南-海口)</v>
          </cell>
        </row>
        <row r="12">
          <cell r="M12" t="str">
            <v>男</v>
          </cell>
        </row>
        <row r="13">
          <cell r="F13" t="str">
            <v>117.129.65.42(北京-北京)</v>
          </cell>
        </row>
        <row r="13">
          <cell r="M13" t="str">
            <v>男</v>
          </cell>
        </row>
        <row r="14">
          <cell r="F14" t="str">
            <v>117.70.180.217(安徽-六安)</v>
          </cell>
        </row>
        <row r="14">
          <cell r="M14" t="str">
            <v>女</v>
          </cell>
        </row>
        <row r="15">
          <cell r="F15" t="str">
            <v>36.43.21.79(陕西-榆林)</v>
          </cell>
        </row>
        <row r="15">
          <cell r="M15" t="str">
            <v>女</v>
          </cell>
        </row>
        <row r="16">
          <cell r="F16" t="str">
            <v>112.32.135.63(安徽-合肥)</v>
          </cell>
        </row>
        <row r="16">
          <cell r="M16" t="str">
            <v>男</v>
          </cell>
        </row>
        <row r="17">
          <cell r="F17" t="str">
            <v>106.84.229.188(重庆-重庆)</v>
          </cell>
        </row>
        <row r="17">
          <cell r="M17" t="str">
            <v>男</v>
          </cell>
        </row>
        <row r="18">
          <cell r="F18" t="str">
            <v>117.150.145.166(湖北-咸宁)</v>
          </cell>
        </row>
        <row r="18">
          <cell r="M18" t="str">
            <v>男</v>
          </cell>
        </row>
        <row r="19">
          <cell r="F19" t="str">
            <v>120.216.109.0(河南-商丘)</v>
          </cell>
        </row>
        <row r="19">
          <cell r="M19" t="str">
            <v>男</v>
          </cell>
        </row>
        <row r="20">
          <cell r="F20" t="str">
            <v>119.2.221.253(广东-广州)</v>
          </cell>
        </row>
        <row r="20">
          <cell r="M20" t="str">
            <v>男</v>
          </cell>
        </row>
        <row r="21">
          <cell r="F21" t="str">
            <v>112.47.153.53(福建-泉州)</v>
          </cell>
        </row>
        <row r="21">
          <cell r="M21" t="str">
            <v>女</v>
          </cell>
        </row>
        <row r="22">
          <cell r="F22" t="str">
            <v>39.144.109.132(山东-聊城)</v>
          </cell>
        </row>
        <row r="22">
          <cell r="M22" t="str">
            <v>男</v>
          </cell>
        </row>
        <row r="23">
          <cell r="F23" t="str">
            <v>120.34.173.176(福建-漳州)</v>
          </cell>
        </row>
        <row r="23">
          <cell r="M23" t="str">
            <v>男</v>
          </cell>
        </row>
        <row r="24">
          <cell r="F24" t="str">
            <v>211.158.246.74(重庆-重庆)</v>
          </cell>
        </row>
        <row r="24">
          <cell r="M24" t="str">
            <v>男</v>
          </cell>
        </row>
        <row r="25">
          <cell r="F25" t="str">
            <v>117.189.11.127(贵州-贵阳)</v>
          </cell>
        </row>
        <row r="25">
          <cell r="M25" t="str">
            <v>男</v>
          </cell>
        </row>
        <row r="26">
          <cell r="F26" t="str">
            <v>39.144.109.180(山东-聊城)</v>
          </cell>
        </row>
        <row r="26">
          <cell r="M26" t="str">
            <v>男</v>
          </cell>
        </row>
        <row r="27">
          <cell r="F27" t="str">
            <v>223.104.231.165(西藏-拉萨)</v>
          </cell>
        </row>
        <row r="27">
          <cell r="M27" t="str">
            <v>男</v>
          </cell>
        </row>
        <row r="28">
          <cell r="F28" t="str">
            <v>111.16.83.253(山东-济宁)</v>
          </cell>
        </row>
        <row r="28">
          <cell r="M28" t="str">
            <v>男</v>
          </cell>
        </row>
        <row r="29">
          <cell r="F29" t="str">
            <v>125.43.77.235(河南-洛阳)</v>
          </cell>
        </row>
        <row r="29">
          <cell r="M29" t="str">
            <v>男</v>
          </cell>
        </row>
        <row r="30">
          <cell r="F30" t="str">
            <v>27.151.158.209(福建-泉州)</v>
          </cell>
        </row>
        <row r="30">
          <cell r="M30" t="str">
            <v>男</v>
          </cell>
        </row>
        <row r="31">
          <cell r="F31" t="str">
            <v>39.162.142.31(河南-郑州)</v>
          </cell>
        </row>
        <row r="31">
          <cell r="M31" t="str">
            <v>男</v>
          </cell>
        </row>
        <row r="32">
          <cell r="F32" t="str">
            <v>223.66.142.182(江苏-徐州)</v>
          </cell>
        </row>
        <row r="32">
          <cell r="M32" t="str">
            <v>男</v>
          </cell>
        </row>
        <row r="33">
          <cell r="F33" t="str">
            <v>111.18.46.8(陕西-西安)</v>
          </cell>
        </row>
        <row r="33">
          <cell r="M33" t="str">
            <v>女</v>
          </cell>
        </row>
        <row r="34">
          <cell r="F34" t="str">
            <v>218.56.224.249(山东-济南)</v>
          </cell>
        </row>
        <row r="34">
          <cell r="M34" t="str">
            <v>男</v>
          </cell>
        </row>
        <row r="35">
          <cell r="F35" t="str">
            <v>183.251.164.14(福建-龙岩)</v>
          </cell>
        </row>
        <row r="35">
          <cell r="M35" t="str">
            <v>男</v>
          </cell>
        </row>
        <row r="36">
          <cell r="F36" t="str">
            <v>36.44.221.161(陕西-西安)</v>
          </cell>
        </row>
        <row r="36">
          <cell r="M36" t="str">
            <v>女</v>
          </cell>
        </row>
        <row r="37">
          <cell r="F37" t="str">
            <v>171.219.242.15(四川-成都)</v>
          </cell>
        </row>
        <row r="37">
          <cell r="M37" t="str">
            <v>男</v>
          </cell>
        </row>
        <row r="38">
          <cell r="F38" t="str">
            <v>111.121.81.255(贵州-贵阳)</v>
          </cell>
        </row>
        <row r="38">
          <cell r="M38" t="str">
            <v>男</v>
          </cell>
        </row>
        <row r="39">
          <cell r="F39" t="str">
            <v>123.138.70.214(陕西-西安)</v>
          </cell>
        </row>
        <row r="39">
          <cell r="M39" t="str">
            <v>男</v>
          </cell>
        </row>
        <row r="40">
          <cell r="F40" t="str">
            <v>106.85.28.157(重庆-重庆)</v>
          </cell>
        </row>
        <row r="40">
          <cell r="M40" t="str">
            <v>男</v>
          </cell>
        </row>
        <row r="41">
          <cell r="F41" t="str">
            <v>140.250.194.135(山东-济宁)</v>
          </cell>
        </row>
        <row r="41">
          <cell r="M41" t="str">
            <v>男</v>
          </cell>
        </row>
        <row r="42">
          <cell r="F42" t="str">
            <v>223.88.35.137(河南-郑州)</v>
          </cell>
        </row>
        <row r="42">
          <cell r="M42" t="str">
            <v>男</v>
          </cell>
        </row>
        <row r="43">
          <cell r="F43" t="str">
            <v>117.189.7.41(贵州-贵阳)</v>
          </cell>
        </row>
        <row r="43">
          <cell r="M43" t="str">
            <v>男</v>
          </cell>
        </row>
        <row r="44">
          <cell r="F44" t="str">
            <v>220.186.133.253(浙江-温州)</v>
          </cell>
        </row>
        <row r="44">
          <cell r="M44" t="str">
            <v>男</v>
          </cell>
        </row>
        <row r="45">
          <cell r="F45" t="str">
            <v>171.108.87.179(广西-南宁)</v>
          </cell>
        </row>
        <row r="45">
          <cell r="M45" t="str">
            <v>男</v>
          </cell>
        </row>
        <row r="46">
          <cell r="F46" t="str">
            <v>36.106.156.186(天津-天津)</v>
          </cell>
        </row>
        <row r="46">
          <cell r="M46" t="str">
            <v>男</v>
          </cell>
        </row>
        <row r="47">
          <cell r="F47" t="str">
            <v>39.148.10.171(河南-信阳)</v>
          </cell>
        </row>
        <row r="47">
          <cell r="M47" t="str">
            <v>女</v>
          </cell>
        </row>
        <row r="48">
          <cell r="F48" t="str">
            <v>112.224.190.121(山东-济南)</v>
          </cell>
        </row>
        <row r="48">
          <cell r="M48" t="str">
            <v>男</v>
          </cell>
        </row>
        <row r="49">
          <cell r="F49" t="str">
            <v>183.202.90.39(山西-大同)</v>
          </cell>
        </row>
        <row r="49">
          <cell r="M49" t="str">
            <v>男</v>
          </cell>
        </row>
        <row r="50">
          <cell r="F50" t="str">
            <v>36.35.162.150(安徽-亳州)</v>
          </cell>
        </row>
        <row r="50">
          <cell r="M50" t="str">
            <v>男</v>
          </cell>
        </row>
        <row r="51">
          <cell r="F51" t="str">
            <v>223.104.202.206(陕西-咸阳)</v>
          </cell>
        </row>
        <row r="51">
          <cell r="M51" t="str">
            <v>男</v>
          </cell>
        </row>
        <row r="52">
          <cell r="F52" t="str">
            <v>27.10.6.186(重庆-重庆)</v>
          </cell>
        </row>
        <row r="52">
          <cell r="M52" t="str">
            <v>男</v>
          </cell>
        </row>
        <row r="53">
          <cell r="F53" t="str">
            <v>223.160.161.142(山东-济南)</v>
          </cell>
        </row>
        <row r="53">
          <cell r="M53" t="str">
            <v>女</v>
          </cell>
        </row>
        <row r="54">
          <cell r="F54" t="str">
            <v>223.104.207.199(陕西-西安)</v>
          </cell>
        </row>
        <row r="54">
          <cell r="M54" t="str">
            <v>男</v>
          </cell>
        </row>
        <row r="55">
          <cell r="F55" t="str">
            <v>111.121.102.238(贵州-贵阳)</v>
          </cell>
        </row>
        <row r="55">
          <cell r="M55" t="str">
            <v>女</v>
          </cell>
        </row>
        <row r="56">
          <cell r="F56" t="str">
            <v>182.32.236.67(山东-济宁)</v>
          </cell>
        </row>
        <row r="56">
          <cell r="M56" t="str">
            <v>男</v>
          </cell>
        </row>
        <row r="57">
          <cell r="F57" t="str">
            <v>123.101.241.150(河南-郑州)</v>
          </cell>
        </row>
        <row r="57">
          <cell r="M57" t="str">
            <v>男</v>
          </cell>
        </row>
        <row r="58">
          <cell r="F58" t="str">
            <v>27.209.105.12(山东-滨州)</v>
          </cell>
        </row>
        <row r="58">
          <cell r="M58" t="str">
            <v>男</v>
          </cell>
        </row>
        <row r="59">
          <cell r="F59" t="str">
            <v>39.187.205.185(浙江-金华)</v>
          </cell>
        </row>
        <row r="59">
          <cell r="M59" t="str">
            <v>男</v>
          </cell>
        </row>
        <row r="60">
          <cell r="F60" t="str">
            <v>116.253.116.166(广西-柳州)</v>
          </cell>
        </row>
        <row r="60">
          <cell r="M60" t="str">
            <v>女</v>
          </cell>
        </row>
        <row r="61">
          <cell r="F61" t="str">
            <v>112.17.242.115(浙江-杭州)</v>
          </cell>
        </row>
        <row r="61">
          <cell r="M61" t="str">
            <v>女</v>
          </cell>
        </row>
        <row r="62">
          <cell r="F62" t="str">
            <v>182.119.125.241(河南-郑州)</v>
          </cell>
        </row>
        <row r="62">
          <cell r="M62" t="str">
            <v>男</v>
          </cell>
        </row>
        <row r="63">
          <cell r="F63" t="str">
            <v>220.200.126.80(广西-南宁)</v>
          </cell>
        </row>
        <row r="63">
          <cell r="M63" t="str">
            <v>女</v>
          </cell>
        </row>
        <row r="64">
          <cell r="F64" t="str">
            <v>115.57.247.222(河南-郑州)</v>
          </cell>
        </row>
        <row r="64">
          <cell r="M64" t="str">
            <v>男</v>
          </cell>
        </row>
        <row r="65">
          <cell r="F65" t="str">
            <v>218.58.98.94(山东-淄博)</v>
          </cell>
        </row>
        <row r="65">
          <cell r="M65" t="str">
            <v>男</v>
          </cell>
        </row>
        <row r="66">
          <cell r="F66" t="str">
            <v>113.77.103.232(广东-东莞)</v>
          </cell>
        </row>
        <row r="66">
          <cell r="M66" t="str">
            <v>男</v>
          </cell>
        </row>
        <row r="67">
          <cell r="F67" t="str">
            <v>180.138.14.129(广西-柳州)</v>
          </cell>
        </row>
        <row r="67">
          <cell r="M67" t="str">
            <v>男</v>
          </cell>
        </row>
        <row r="68">
          <cell r="F68" t="str">
            <v>111.59.205.62(广西-柳州)</v>
          </cell>
        </row>
        <row r="68">
          <cell r="M68" t="str">
            <v>女</v>
          </cell>
        </row>
        <row r="69">
          <cell r="F69" t="str">
            <v>182.118.239.132(河南-郑州)</v>
          </cell>
        </row>
        <row r="69">
          <cell r="M69" t="str">
            <v>女</v>
          </cell>
        </row>
        <row r="70">
          <cell r="F70" t="str">
            <v>106.34.150.20(河南-郑州)</v>
          </cell>
        </row>
        <row r="70">
          <cell r="M70" t="str">
            <v>男</v>
          </cell>
        </row>
        <row r="71">
          <cell r="F71" t="str">
            <v>114.230.91.213(江苏-扬州)</v>
          </cell>
        </row>
        <row r="71">
          <cell r="M71" t="str">
            <v>男</v>
          </cell>
        </row>
        <row r="72">
          <cell r="F72" t="str">
            <v>114.230.91.213(江苏-扬州)</v>
          </cell>
        </row>
        <row r="72">
          <cell r="M72" t="str">
            <v>男</v>
          </cell>
        </row>
        <row r="73">
          <cell r="F73" t="str">
            <v>39.149.83.17(河南-周口)</v>
          </cell>
        </row>
        <row r="73">
          <cell r="M73" t="str">
            <v>男</v>
          </cell>
        </row>
        <row r="74">
          <cell r="F74" t="str">
            <v>111.34.134.16(山东-淄博)</v>
          </cell>
        </row>
        <row r="74">
          <cell r="M74" t="str">
            <v>男</v>
          </cell>
        </row>
        <row r="75">
          <cell r="F75" t="str">
            <v>112.32.161.120(安徽-阜阳)</v>
          </cell>
        </row>
        <row r="75">
          <cell r="M75" t="str">
            <v>男</v>
          </cell>
        </row>
        <row r="76">
          <cell r="F76" t="str">
            <v>223.160.131.141(北京-北京)</v>
          </cell>
        </row>
        <row r="76">
          <cell r="M76" t="str">
            <v>男</v>
          </cell>
        </row>
        <row r="77">
          <cell r="F77" t="str">
            <v>39.128.31.60(云南-昆明)</v>
          </cell>
        </row>
        <row r="77">
          <cell r="M77" t="str">
            <v>男</v>
          </cell>
        </row>
        <row r="78">
          <cell r="F78" t="str">
            <v>212.96.82.88(国外-哈萨克斯坦)</v>
          </cell>
        </row>
        <row r="78">
          <cell r="M78" t="str">
            <v>男</v>
          </cell>
        </row>
        <row r="79">
          <cell r="F79" t="str">
            <v>111.55.10.131(广西-柳州)</v>
          </cell>
        </row>
        <row r="79">
          <cell r="M79" t="str">
            <v>男</v>
          </cell>
        </row>
        <row r="80">
          <cell r="F80" t="str">
            <v>223.198.164.34(海南-海口)</v>
          </cell>
        </row>
        <row r="80">
          <cell r="M80" t="str">
            <v>男</v>
          </cell>
        </row>
        <row r="81">
          <cell r="F81" t="str">
            <v>223.104.163.30(浙江-绍兴)</v>
          </cell>
        </row>
        <row r="81">
          <cell r="M81" t="str">
            <v>男</v>
          </cell>
        </row>
        <row r="82">
          <cell r="F82" t="str">
            <v>111.55.10.69(广西-柳州)</v>
          </cell>
        </row>
        <row r="82">
          <cell r="M82" t="str">
            <v>女</v>
          </cell>
        </row>
        <row r="83">
          <cell r="F83" t="str">
            <v>1.192.3.160(河南-郑州)</v>
          </cell>
        </row>
        <row r="83">
          <cell r="M83" t="str">
            <v>男</v>
          </cell>
        </row>
        <row r="84">
          <cell r="F84" t="str">
            <v>117.136.116.19(安徽-合肥)</v>
          </cell>
        </row>
        <row r="84">
          <cell r="M84" t="str">
            <v>男</v>
          </cell>
        </row>
        <row r="85">
          <cell r="F85" t="str">
            <v>220.200.111.154(海南-海口)</v>
          </cell>
        </row>
        <row r="85">
          <cell r="M85" t="str">
            <v>男</v>
          </cell>
        </row>
        <row r="86">
          <cell r="F86" t="str">
            <v>115.239.188.14(浙江-绍兴)</v>
          </cell>
        </row>
        <row r="86">
          <cell r="M86" t="str">
            <v>男</v>
          </cell>
        </row>
        <row r="87">
          <cell r="F87" t="str">
            <v>111.55.150.97(四川-成都)</v>
          </cell>
        </row>
        <row r="87">
          <cell r="M87" t="str">
            <v>男</v>
          </cell>
        </row>
        <row r="88">
          <cell r="F88" t="str">
            <v>220.173.186.249(广西-柳州)</v>
          </cell>
        </row>
        <row r="88">
          <cell r="M88" t="str">
            <v>女</v>
          </cell>
        </row>
        <row r="89">
          <cell r="F89" t="str">
            <v>36.21.11.58(浙江-杭州)</v>
          </cell>
        </row>
        <row r="89">
          <cell r="M89" t="str">
            <v>男</v>
          </cell>
        </row>
        <row r="90">
          <cell r="F90" t="str">
            <v>60.24.251.249(天津-天津)</v>
          </cell>
        </row>
        <row r="90">
          <cell r="M90" t="str">
            <v>男</v>
          </cell>
        </row>
        <row r="91">
          <cell r="F91" t="str">
            <v>120.212.163.56(河南-郑州)</v>
          </cell>
        </row>
        <row r="91">
          <cell r="M91" t="str">
            <v>男</v>
          </cell>
        </row>
        <row r="92">
          <cell r="F92" t="str">
            <v>112.224.163.168(山东-济南)</v>
          </cell>
        </row>
        <row r="92">
          <cell r="M92" t="str">
            <v>男</v>
          </cell>
        </row>
        <row r="93">
          <cell r="F93" t="str">
            <v>115.212.143.196(浙江-金华)</v>
          </cell>
        </row>
        <row r="93">
          <cell r="M93" t="str">
            <v>男</v>
          </cell>
        </row>
        <row r="94">
          <cell r="F94" t="str">
            <v>117.129.68.163(北京-北京)</v>
          </cell>
        </row>
        <row r="94">
          <cell r="M94" t="str">
            <v>男</v>
          </cell>
        </row>
        <row r="95">
          <cell r="F95" t="str">
            <v>36.25.117.39(浙江-金华)</v>
          </cell>
        </row>
        <row r="95">
          <cell r="M95" t="str">
            <v>男</v>
          </cell>
        </row>
        <row r="96">
          <cell r="F96" t="str">
            <v>121.24.39.248(河北-邯郸)</v>
          </cell>
        </row>
        <row r="96">
          <cell r="M96" t="str">
            <v>男</v>
          </cell>
        </row>
        <row r="97">
          <cell r="F97" t="str">
            <v>122.243.38.148(浙江-金华)</v>
          </cell>
        </row>
        <row r="97">
          <cell r="M97" t="str">
            <v>男</v>
          </cell>
        </row>
        <row r="98">
          <cell r="F98" t="str">
            <v>122.243.38.148(浙江-金华)</v>
          </cell>
        </row>
        <row r="98">
          <cell r="M98" t="str">
            <v>男</v>
          </cell>
        </row>
        <row r="99">
          <cell r="F99" t="str">
            <v>171.40.73.98(湖北-孝感)</v>
          </cell>
        </row>
        <row r="99">
          <cell r="M99" t="str">
            <v>男</v>
          </cell>
        </row>
        <row r="100">
          <cell r="F100" t="str">
            <v>61.242.130.144(湖北-武汉)</v>
          </cell>
        </row>
        <row r="100">
          <cell r="M100" t="str">
            <v>男</v>
          </cell>
        </row>
        <row r="101">
          <cell r="F101" t="str">
            <v>117.126.8.217(北京-北京)</v>
          </cell>
        </row>
        <row r="101">
          <cell r="M101" t="str">
            <v>男</v>
          </cell>
        </row>
        <row r="102">
          <cell r="F102" t="str">
            <v>183.228.173.210(重庆-重庆)</v>
          </cell>
        </row>
        <row r="102">
          <cell r="M102" t="str">
            <v>男</v>
          </cell>
        </row>
        <row r="103">
          <cell r="F103" t="str">
            <v>111.55.103.231(湖南-郴州)</v>
          </cell>
        </row>
        <row r="103">
          <cell r="M103" t="str">
            <v>女</v>
          </cell>
        </row>
        <row r="104">
          <cell r="F104" t="str">
            <v>101.20.25.166(河北-廊坊)</v>
          </cell>
        </row>
        <row r="104">
          <cell r="M104" t="str">
            <v>男</v>
          </cell>
        </row>
        <row r="105">
          <cell r="F105" t="str">
            <v>114.244.129.72(北京-北京)</v>
          </cell>
        </row>
        <row r="105">
          <cell r="M105" t="str">
            <v>男</v>
          </cell>
        </row>
        <row r="106">
          <cell r="F106" t="str">
            <v>123.181.102.144(河北-沧州)</v>
          </cell>
        </row>
        <row r="106">
          <cell r="M106" t="str">
            <v>男</v>
          </cell>
        </row>
        <row r="107">
          <cell r="F107" t="str">
            <v>114.244.129.105(北京-北京)</v>
          </cell>
        </row>
        <row r="107">
          <cell r="M107" t="str">
            <v>女</v>
          </cell>
        </row>
        <row r="108">
          <cell r="F108" t="str">
            <v>183.197.2.125(河北-保定)</v>
          </cell>
        </row>
        <row r="108">
          <cell r="M108" t="str">
            <v>男</v>
          </cell>
        </row>
        <row r="109">
          <cell r="F109" t="str">
            <v>60.1.53.181(河北-石家庄)</v>
          </cell>
        </row>
        <row r="109">
          <cell r="M109" t="str">
            <v>男</v>
          </cell>
        </row>
        <row r="110">
          <cell r="F110" t="str">
            <v>221.229.121.179(江苏-扬州)</v>
          </cell>
        </row>
        <row r="110">
          <cell r="M110" t="str">
            <v>男</v>
          </cell>
        </row>
        <row r="111">
          <cell r="F111" t="str">
            <v>221.7.140.236(广西-柳州)</v>
          </cell>
        </row>
        <row r="111">
          <cell r="M111" t="str">
            <v>男</v>
          </cell>
        </row>
        <row r="112">
          <cell r="F112" t="str">
            <v>112.224.160.97(山东-济南)</v>
          </cell>
        </row>
        <row r="112">
          <cell r="M112" t="str">
            <v>男</v>
          </cell>
        </row>
        <row r="113">
          <cell r="F113" t="str">
            <v>123.163.8.20(河南-洛阳)</v>
          </cell>
        </row>
        <row r="113">
          <cell r="M113" t="str">
            <v>男</v>
          </cell>
        </row>
        <row r="114">
          <cell r="F114" t="str">
            <v>117.15.193.219(天津-天津)</v>
          </cell>
        </row>
        <row r="114">
          <cell r="M114" t="str">
            <v>男</v>
          </cell>
        </row>
        <row r="115">
          <cell r="F115" t="str">
            <v>222.187.165.43(江苏-徐州)</v>
          </cell>
        </row>
        <row r="115">
          <cell r="M115" t="str">
            <v>男</v>
          </cell>
        </row>
        <row r="116">
          <cell r="F116" t="str">
            <v>180.98.84.200(江苏-南京)</v>
          </cell>
        </row>
        <row r="116">
          <cell r="M116" t="str">
            <v>女</v>
          </cell>
        </row>
        <row r="117">
          <cell r="F117" t="str">
            <v>49.93.215.26(江苏-南京)</v>
          </cell>
        </row>
        <row r="117">
          <cell r="M117" t="str">
            <v>男</v>
          </cell>
        </row>
        <row r="118">
          <cell r="F118" t="str">
            <v>183.206.135.178(江苏-徐州)</v>
          </cell>
        </row>
        <row r="118">
          <cell r="M118" t="str">
            <v>女</v>
          </cell>
        </row>
        <row r="119">
          <cell r="F119" t="str">
            <v>180.98.84.200(江苏-南京)</v>
          </cell>
        </row>
        <row r="119">
          <cell r="M119" t="str">
            <v>男</v>
          </cell>
        </row>
        <row r="120">
          <cell r="F120" t="str">
            <v>121.233.18.159(江苏-徐州)</v>
          </cell>
        </row>
        <row r="120">
          <cell r="M120" t="str">
            <v>男</v>
          </cell>
        </row>
        <row r="121">
          <cell r="F121" t="str">
            <v>120.239.7.39(广东-梅州)</v>
          </cell>
        </row>
        <row r="121">
          <cell r="M121" t="str">
            <v>男</v>
          </cell>
        </row>
        <row r="122">
          <cell r="F122" t="str">
            <v>223.160.188.199(四川-成都)</v>
          </cell>
        </row>
        <row r="122">
          <cell r="M122" t="str">
            <v>男</v>
          </cell>
        </row>
        <row r="123">
          <cell r="F123" t="str">
            <v>39.144.133.175(广西-河池)</v>
          </cell>
        </row>
        <row r="123">
          <cell r="M123" t="str">
            <v>男</v>
          </cell>
        </row>
        <row r="124">
          <cell r="F124" t="str">
            <v>223.104.71.84(广东-汕头)</v>
          </cell>
        </row>
        <row r="124">
          <cell r="M124" t="str">
            <v>男</v>
          </cell>
        </row>
        <row r="125">
          <cell r="F125" t="str">
            <v>183.229.255.93(重庆-重庆)</v>
          </cell>
        </row>
        <row r="125">
          <cell r="M125" t="str">
            <v>男</v>
          </cell>
        </row>
        <row r="126">
          <cell r="F126" t="str">
            <v>39.144.228.248(贵州-贵阳)</v>
          </cell>
        </row>
        <row r="126">
          <cell r="M126" t="str">
            <v>男</v>
          </cell>
        </row>
        <row r="127">
          <cell r="F127" t="str">
            <v>123.161.245.58(河南-平顶山)</v>
          </cell>
        </row>
        <row r="127">
          <cell r="M127" t="str">
            <v>男</v>
          </cell>
        </row>
        <row r="128">
          <cell r="F128" t="str">
            <v>121.229.142.73(江苏-南京)</v>
          </cell>
        </row>
        <row r="128">
          <cell r="M128" t="str">
            <v>男</v>
          </cell>
        </row>
        <row r="129">
          <cell r="F129" t="str">
            <v>223.73.11.113(广东-汕头)</v>
          </cell>
        </row>
        <row r="129">
          <cell r="M129" t="str">
            <v>男</v>
          </cell>
        </row>
        <row r="130">
          <cell r="F130" t="str">
            <v>183.42.134.224(广东-广州)</v>
          </cell>
        </row>
        <row r="130">
          <cell r="M130" t="str">
            <v>男</v>
          </cell>
        </row>
        <row r="131">
          <cell r="F131" t="str">
            <v>223.104.80.132(广东-广州)</v>
          </cell>
        </row>
        <row r="131">
          <cell r="M131" t="str">
            <v>男</v>
          </cell>
        </row>
        <row r="132">
          <cell r="F132" t="str">
            <v>171.109.64.169(广西-百色)</v>
          </cell>
        </row>
        <row r="132">
          <cell r="M132" t="str">
            <v>女</v>
          </cell>
        </row>
        <row r="133">
          <cell r="F133" t="str">
            <v>27.223.167.54(山东-青岛)</v>
          </cell>
        </row>
        <row r="133">
          <cell r="M133" t="str">
            <v>女</v>
          </cell>
        </row>
        <row r="134">
          <cell r="F134" t="str">
            <v>171.106.169.99(广西-南宁)</v>
          </cell>
        </row>
        <row r="134">
          <cell r="M134" t="str">
            <v>男</v>
          </cell>
        </row>
        <row r="135">
          <cell r="F135" t="str">
            <v>113.94.53.47(广东-茂名)</v>
          </cell>
        </row>
        <row r="135">
          <cell r="M135" t="str">
            <v>女</v>
          </cell>
        </row>
        <row r="136">
          <cell r="F136" t="str">
            <v>171.108.207.208(广西-南宁)</v>
          </cell>
        </row>
        <row r="136">
          <cell r="M136" t="str">
            <v>男</v>
          </cell>
        </row>
        <row r="137">
          <cell r="F137" t="str">
            <v>120.239.8.168(广东-汕头)</v>
          </cell>
        </row>
        <row r="137">
          <cell r="M137" t="str">
            <v>女</v>
          </cell>
        </row>
        <row r="138">
          <cell r="F138" t="str">
            <v>175.2.205.32(湖南-娄底)</v>
          </cell>
        </row>
        <row r="138">
          <cell r="M138" t="str">
            <v>男</v>
          </cell>
        </row>
        <row r="139">
          <cell r="F139" t="str">
            <v>115.239.188.14(浙江-绍兴)</v>
          </cell>
        </row>
        <row r="139">
          <cell r="M139" t="str">
            <v>男</v>
          </cell>
        </row>
        <row r="140">
          <cell r="F140" t="str">
            <v>58.60.29.106(广东-深圳)</v>
          </cell>
        </row>
        <row r="140">
          <cell r="M140" t="str">
            <v>男</v>
          </cell>
        </row>
        <row r="141">
          <cell r="F141" t="str">
            <v>112.97.168.236(广东-东莞)</v>
          </cell>
        </row>
        <row r="141">
          <cell r="M141" t="str">
            <v>男</v>
          </cell>
        </row>
        <row r="142">
          <cell r="F142" t="str">
            <v>180.124.87.143(江苏-徐州)</v>
          </cell>
        </row>
        <row r="142">
          <cell r="M142" t="str">
            <v>男</v>
          </cell>
        </row>
        <row r="143">
          <cell r="F143" t="str">
            <v>223.79.27.83(山东-青岛)</v>
          </cell>
        </row>
        <row r="143">
          <cell r="M143" t="str">
            <v>男</v>
          </cell>
        </row>
        <row r="144">
          <cell r="F144" t="str">
            <v>120.244.60.112(北京-北京)</v>
          </cell>
        </row>
        <row r="144">
          <cell r="M144" t="str">
            <v>男</v>
          </cell>
        </row>
        <row r="145">
          <cell r="F145" t="str">
            <v>121.31.246.50(广西-南宁)</v>
          </cell>
        </row>
        <row r="145">
          <cell r="M145" t="str">
            <v>男</v>
          </cell>
        </row>
        <row r="146">
          <cell r="F146" t="str">
            <v>61.184.196.246(湖北-荆门)</v>
          </cell>
        </row>
        <row r="146">
          <cell r="M146" t="str">
            <v>男</v>
          </cell>
        </row>
        <row r="147">
          <cell r="F147" t="str">
            <v>220.180.100.111(安徽-亳州)</v>
          </cell>
        </row>
        <row r="147">
          <cell r="M147" t="str">
            <v>男</v>
          </cell>
        </row>
        <row r="148">
          <cell r="F148" t="str">
            <v>36.59.190.152(安徽-六安)</v>
          </cell>
        </row>
        <row r="148">
          <cell r="M148" t="str">
            <v>男</v>
          </cell>
        </row>
        <row r="149">
          <cell r="F149" t="str">
            <v>120.202.163.132(湖北-武汉)</v>
          </cell>
        </row>
        <row r="149">
          <cell r="M149" t="str">
            <v>男</v>
          </cell>
        </row>
        <row r="150">
          <cell r="F150" t="str">
            <v>180.139.65.177(广西-防城港)</v>
          </cell>
        </row>
        <row r="150">
          <cell r="M150" t="str">
            <v>男</v>
          </cell>
        </row>
        <row r="151">
          <cell r="F151" t="str">
            <v>175.2.196.241(湖南-娄底)</v>
          </cell>
        </row>
        <row r="151">
          <cell r="M151" t="str">
            <v>男</v>
          </cell>
        </row>
        <row r="152">
          <cell r="F152" t="str">
            <v>123.9.167.0(河南-许昌)</v>
          </cell>
        </row>
        <row r="152">
          <cell r="M152" t="str">
            <v>男</v>
          </cell>
        </row>
        <row r="153">
          <cell r="F153" t="str">
            <v>112.97.47.202(广东-深圳)</v>
          </cell>
        </row>
        <row r="153">
          <cell r="M153" t="str">
            <v>女</v>
          </cell>
        </row>
        <row r="154">
          <cell r="F154" t="str">
            <v>220.173.103.54(广西-柳州)</v>
          </cell>
        </row>
        <row r="154">
          <cell r="M154" t="str">
            <v>女</v>
          </cell>
        </row>
        <row r="155">
          <cell r="F155" t="str">
            <v>39.144.190.7(湖南-长沙)</v>
          </cell>
        </row>
        <row r="155">
          <cell r="M155" t="str">
            <v>女</v>
          </cell>
        </row>
        <row r="156">
          <cell r="F156" t="str">
            <v>111.55.209.13(广东-广州)</v>
          </cell>
        </row>
        <row r="156">
          <cell r="M156" t="str">
            <v>男</v>
          </cell>
        </row>
        <row r="157">
          <cell r="F157" t="str">
            <v>183.42.194.203(广东-广州)</v>
          </cell>
        </row>
        <row r="157">
          <cell r="M157" t="str">
            <v>男</v>
          </cell>
        </row>
        <row r="158">
          <cell r="F158" t="str">
            <v>39.144.192.75(湖南-益阳)</v>
          </cell>
        </row>
        <row r="158">
          <cell r="M158" t="str">
            <v>男</v>
          </cell>
        </row>
        <row r="159">
          <cell r="F159" t="str">
            <v>182.139.208.225(四川-成都)</v>
          </cell>
        </row>
        <row r="159">
          <cell r="M159" t="str">
            <v>男</v>
          </cell>
        </row>
        <row r="160">
          <cell r="F160" t="str">
            <v>58.17.162.67(重庆-重庆)</v>
          </cell>
        </row>
        <row r="160">
          <cell r="M160" t="str">
            <v>男</v>
          </cell>
        </row>
        <row r="161">
          <cell r="F161" t="str">
            <v>223.104.194.219(山东-济南)</v>
          </cell>
        </row>
        <row r="161">
          <cell r="M161" t="str">
            <v>男</v>
          </cell>
        </row>
        <row r="162">
          <cell r="F162" t="str">
            <v>111.121.77.1(贵州-贵阳)</v>
          </cell>
        </row>
        <row r="162">
          <cell r="M162" t="str">
            <v>男</v>
          </cell>
        </row>
        <row r="163">
          <cell r="F163" t="str">
            <v>43.250.245.75(广西-南宁)</v>
          </cell>
        </row>
        <row r="163">
          <cell r="M163" t="str">
            <v>男</v>
          </cell>
        </row>
        <row r="164">
          <cell r="F164" t="str">
            <v>27.29.182.51(湖北-襄阳)</v>
          </cell>
        </row>
        <row r="164">
          <cell r="M164" t="str">
            <v>男</v>
          </cell>
        </row>
        <row r="165">
          <cell r="F165" t="str">
            <v>125.81.129.236(重庆-重庆)</v>
          </cell>
        </row>
        <row r="165">
          <cell r="M165" t="str">
            <v>男</v>
          </cell>
        </row>
        <row r="166">
          <cell r="F166" t="str">
            <v>112.67.169.108(海南-海口)</v>
          </cell>
        </row>
        <row r="166">
          <cell r="M166" t="str">
            <v>男</v>
          </cell>
        </row>
        <row r="167">
          <cell r="F167" t="str">
            <v>1.195.33.179(河南-新乡)</v>
          </cell>
        </row>
        <row r="167">
          <cell r="M167" t="str">
            <v>男</v>
          </cell>
        </row>
        <row r="168">
          <cell r="F168" t="str">
            <v>110.252.248.123(河北-沧州)</v>
          </cell>
        </row>
        <row r="168">
          <cell r="M168" t="str">
            <v>男</v>
          </cell>
        </row>
        <row r="169">
          <cell r="F169" t="str">
            <v>39.144.134.28(广西-钦州)</v>
          </cell>
        </row>
        <row r="169">
          <cell r="M169" t="str">
            <v>男</v>
          </cell>
        </row>
        <row r="170">
          <cell r="F170" t="str">
            <v>171.213.248.79(四川-成都)</v>
          </cell>
        </row>
        <row r="170">
          <cell r="M170" t="str">
            <v>女</v>
          </cell>
        </row>
        <row r="171">
          <cell r="F171" t="str">
            <v>27.199.67.157(山东-济宁)</v>
          </cell>
        </row>
        <row r="171">
          <cell r="M171" t="str">
            <v>男</v>
          </cell>
        </row>
        <row r="172">
          <cell r="F172" t="str">
            <v>111.19.52.52(陕西-咸阳)</v>
          </cell>
        </row>
        <row r="172">
          <cell r="M172" t="str">
            <v>男</v>
          </cell>
        </row>
        <row r="173">
          <cell r="F173" t="str">
            <v>39.144.157.203(江苏-无锡)</v>
          </cell>
        </row>
        <row r="173">
          <cell r="M173" t="str">
            <v>男</v>
          </cell>
        </row>
        <row r="174">
          <cell r="F174" t="str">
            <v>116.130.211.157(天津-天津)</v>
          </cell>
        </row>
        <row r="174">
          <cell r="M174" t="str">
            <v>男</v>
          </cell>
        </row>
        <row r="175">
          <cell r="F175" t="str">
            <v>27.199.67.157(山东-济宁)</v>
          </cell>
        </row>
        <row r="175">
          <cell r="M175" t="str">
            <v>男</v>
          </cell>
        </row>
        <row r="176">
          <cell r="F176" t="str">
            <v>39.144.230.20(贵州-遵义)</v>
          </cell>
        </row>
        <row r="176">
          <cell r="M176" t="str">
            <v>男</v>
          </cell>
        </row>
        <row r="177">
          <cell r="F177" t="str">
            <v>36.28.193.195(浙江-湖州)</v>
          </cell>
        </row>
        <row r="177">
          <cell r="M177" t="str">
            <v>男</v>
          </cell>
        </row>
        <row r="178">
          <cell r="F178" t="str">
            <v>117.183.146.172(广西-崇左)</v>
          </cell>
        </row>
        <row r="178">
          <cell r="M178" t="str">
            <v>男</v>
          </cell>
        </row>
        <row r="179">
          <cell r="F179" t="str">
            <v>171.37.13.210(广西-南宁)</v>
          </cell>
        </row>
        <row r="179">
          <cell r="M179" t="str">
            <v>男</v>
          </cell>
        </row>
        <row r="180">
          <cell r="F180" t="str">
            <v>220.200.126.110(广西-南宁)</v>
          </cell>
        </row>
        <row r="180">
          <cell r="M180" t="str">
            <v>男</v>
          </cell>
        </row>
        <row r="181">
          <cell r="F181" t="str">
            <v>114.244.128.75(北京-北京)</v>
          </cell>
        </row>
        <row r="181">
          <cell r="M181" t="str">
            <v>男</v>
          </cell>
        </row>
        <row r="182">
          <cell r="F182" t="str">
            <v>223.104.110.38(河南-郑州)</v>
          </cell>
        </row>
        <row r="182">
          <cell r="M182" t="str">
            <v>男</v>
          </cell>
        </row>
        <row r="183">
          <cell r="F183" t="str">
            <v>125.47.192.70(河南-开封)</v>
          </cell>
        </row>
        <row r="183">
          <cell r="M183" t="str">
            <v>男</v>
          </cell>
        </row>
        <row r="184">
          <cell r="F184" t="str">
            <v>124.240.62.95(广东-茂名)</v>
          </cell>
        </row>
        <row r="184">
          <cell r="M184" t="str">
            <v>男</v>
          </cell>
        </row>
        <row r="185">
          <cell r="F185" t="str">
            <v>111.55.151.108(广东-广州)</v>
          </cell>
        </row>
        <row r="185">
          <cell r="M185" t="str">
            <v>男</v>
          </cell>
        </row>
        <row r="186">
          <cell r="F186" t="str">
            <v>223.104.250.24(重庆-重庆)</v>
          </cell>
        </row>
        <row r="186">
          <cell r="M186" t="str">
            <v>男</v>
          </cell>
        </row>
        <row r="187">
          <cell r="F187" t="str">
            <v>223.160.229.102(广东-广州)</v>
          </cell>
        </row>
        <row r="187">
          <cell r="M187" t="str">
            <v>男</v>
          </cell>
        </row>
        <row r="188">
          <cell r="F188" t="str">
            <v>117.181.69.212(广西-河池)</v>
          </cell>
        </row>
        <row r="188">
          <cell r="M188" t="str">
            <v>男</v>
          </cell>
        </row>
        <row r="189">
          <cell r="F189" t="str">
            <v>117.183.104.149(广西-柳州)</v>
          </cell>
        </row>
        <row r="189">
          <cell r="M189" t="str">
            <v>女</v>
          </cell>
        </row>
        <row r="190">
          <cell r="F190" t="str">
            <v>110.185.147.184(四川-广安)</v>
          </cell>
        </row>
        <row r="190">
          <cell r="M190" t="str">
            <v>女</v>
          </cell>
        </row>
        <row r="191">
          <cell r="F191" t="str">
            <v>222.187.165.43(江苏-徐州)</v>
          </cell>
        </row>
        <row r="191">
          <cell r="M191" t="str">
            <v>男</v>
          </cell>
        </row>
        <row r="192">
          <cell r="F192" t="str">
            <v>222.187.165.43(江苏-徐州)</v>
          </cell>
        </row>
        <row r="192">
          <cell r="M192" t="str">
            <v>男</v>
          </cell>
        </row>
        <row r="193">
          <cell r="F193" t="str">
            <v>222.187.165.43(江苏-徐州)</v>
          </cell>
        </row>
        <row r="193">
          <cell r="M193" t="str">
            <v>男</v>
          </cell>
        </row>
        <row r="194">
          <cell r="F194" t="str">
            <v>222.187.165.43(江苏-徐州)</v>
          </cell>
        </row>
        <row r="194">
          <cell r="M194" t="str">
            <v>男</v>
          </cell>
        </row>
        <row r="195">
          <cell r="F195" t="str">
            <v>49.93.177.161(江苏-宿迁)</v>
          </cell>
        </row>
        <row r="195">
          <cell r="M195" t="str">
            <v>女</v>
          </cell>
        </row>
        <row r="196">
          <cell r="F196" t="str">
            <v>49.93.177.161(江苏-宿迁)</v>
          </cell>
        </row>
        <row r="196">
          <cell r="M196" t="str">
            <v>男</v>
          </cell>
        </row>
        <row r="197">
          <cell r="F197" t="str">
            <v>211.90.235.157(浙江-杭州)</v>
          </cell>
        </row>
        <row r="197">
          <cell r="M197" t="str">
            <v>男</v>
          </cell>
        </row>
        <row r="198">
          <cell r="F198" t="str">
            <v>125.43.193.24(河南-焦作)</v>
          </cell>
        </row>
        <row r="198">
          <cell r="M198" t="str">
            <v>女</v>
          </cell>
        </row>
        <row r="199">
          <cell r="F199" t="str">
            <v>223.104.68.110(广东-深圳)</v>
          </cell>
        </row>
        <row r="199">
          <cell r="M199" t="str">
            <v>男</v>
          </cell>
        </row>
        <row r="200">
          <cell r="F200" t="str">
            <v>27.198.57.221(山东-济宁)</v>
          </cell>
        </row>
        <row r="200">
          <cell r="M200" t="str">
            <v>男</v>
          </cell>
        </row>
        <row r="201">
          <cell r="F201" t="str">
            <v>112.224.163.177(山东-济南)</v>
          </cell>
        </row>
        <row r="201">
          <cell r="M201" t="str">
            <v>男</v>
          </cell>
        </row>
        <row r="202">
          <cell r="F202" t="str">
            <v>112.224.159.233(山东-临沂)</v>
          </cell>
        </row>
        <row r="202">
          <cell r="M202" t="str">
            <v>男</v>
          </cell>
        </row>
        <row r="203">
          <cell r="F203" t="str">
            <v>112.224.223.3(山东-济南)</v>
          </cell>
        </row>
        <row r="203">
          <cell r="M203" t="str">
            <v>男</v>
          </cell>
        </row>
        <row r="204">
          <cell r="F204" t="str">
            <v>39.144.188.39(河南-新乡)</v>
          </cell>
        </row>
        <row r="204">
          <cell r="M204" t="str">
            <v>男</v>
          </cell>
        </row>
        <row r="205">
          <cell r="F205" t="str">
            <v>112.224.191.27(山东-济南)</v>
          </cell>
        </row>
        <row r="205">
          <cell r="M205" t="str">
            <v>男</v>
          </cell>
        </row>
        <row r="206">
          <cell r="F206" t="str">
            <v>49.68.108.47(江苏-徐州)</v>
          </cell>
        </row>
        <row r="206">
          <cell r="M206" t="str">
            <v>男</v>
          </cell>
        </row>
        <row r="207">
          <cell r="F207" t="str">
            <v>49.68.108.47(江苏-徐州)</v>
          </cell>
        </row>
        <row r="207">
          <cell r="M207" t="str">
            <v>男</v>
          </cell>
        </row>
        <row r="208">
          <cell r="F208" t="str">
            <v>49.68.108.47(江苏-徐州)</v>
          </cell>
        </row>
        <row r="208">
          <cell r="M208" t="str">
            <v>男</v>
          </cell>
        </row>
        <row r="209">
          <cell r="F209" t="str">
            <v>49.68.108.47(江苏-徐州)</v>
          </cell>
        </row>
        <row r="209">
          <cell r="M209" t="str">
            <v>男</v>
          </cell>
        </row>
        <row r="210">
          <cell r="F210" t="str">
            <v>180.98.139.162(江苏-南京)</v>
          </cell>
        </row>
        <row r="210">
          <cell r="M210" t="str">
            <v>男</v>
          </cell>
        </row>
        <row r="211">
          <cell r="F211" t="str">
            <v>36.141.49.101(广东-未知)</v>
          </cell>
        </row>
        <row r="211">
          <cell r="M211" t="str">
            <v>男</v>
          </cell>
        </row>
        <row r="212">
          <cell r="F212" t="str">
            <v>223.104.158.146(江苏-盐城)</v>
          </cell>
        </row>
        <row r="212">
          <cell r="M212" t="str">
            <v>男</v>
          </cell>
        </row>
        <row r="213">
          <cell r="F213" t="str">
            <v>182.90.248.74(广西-柳州)</v>
          </cell>
        </row>
        <row r="213">
          <cell r="M213" t="str">
            <v>女</v>
          </cell>
        </row>
        <row r="214">
          <cell r="F214" t="str">
            <v>223.104.61.83(广东-东莞)</v>
          </cell>
        </row>
        <row r="214">
          <cell r="M214" t="str">
            <v>男</v>
          </cell>
        </row>
        <row r="215">
          <cell r="F215" t="str">
            <v>14.153.32.107(广东-深圳)</v>
          </cell>
        </row>
        <row r="215">
          <cell r="M215" t="str">
            <v>男</v>
          </cell>
        </row>
        <row r="216">
          <cell r="F216" t="str">
            <v>223.104.69.83(广东-佛山)</v>
          </cell>
        </row>
        <row r="216">
          <cell r="M216" t="str">
            <v>男</v>
          </cell>
        </row>
        <row r="217">
          <cell r="F217" t="str">
            <v>171.218.8.221(四川-宜宾)</v>
          </cell>
        </row>
        <row r="217">
          <cell r="M217" t="str">
            <v>男</v>
          </cell>
        </row>
        <row r="218">
          <cell r="F218" t="str">
            <v>171.218.8.221(四川-宜宾)</v>
          </cell>
        </row>
        <row r="218">
          <cell r="M218" t="str">
            <v>男</v>
          </cell>
        </row>
        <row r="219">
          <cell r="F219" t="str">
            <v>119.164.207.36(山东-济南)</v>
          </cell>
        </row>
        <row r="219">
          <cell r="M219" t="str">
            <v>女</v>
          </cell>
        </row>
        <row r="220">
          <cell r="F220" t="str">
            <v>183.237.15.78(广东-茂名)</v>
          </cell>
        </row>
        <row r="220">
          <cell r="M220" t="str">
            <v>男</v>
          </cell>
        </row>
        <row r="221">
          <cell r="F221" t="str">
            <v>223.160.233.207(广西-南宁)</v>
          </cell>
        </row>
        <row r="221">
          <cell r="M221" t="str">
            <v>女</v>
          </cell>
        </row>
        <row r="222">
          <cell r="F222" t="str">
            <v>111.55.10.125(广西-柳州)</v>
          </cell>
        </row>
        <row r="222">
          <cell r="M222" t="str">
            <v>男</v>
          </cell>
        </row>
        <row r="223">
          <cell r="F223" t="str">
            <v>119.162.200.129(山东-济南)</v>
          </cell>
        </row>
        <row r="223">
          <cell r="M223" t="str">
            <v>女</v>
          </cell>
        </row>
        <row r="224">
          <cell r="F224" t="str">
            <v>39.144.249.10(福建-漳州)</v>
          </cell>
        </row>
        <row r="224">
          <cell r="M224" t="str">
            <v>男</v>
          </cell>
        </row>
        <row r="225">
          <cell r="F225" t="str">
            <v>39.144.251.107(福建-厦门)</v>
          </cell>
        </row>
        <row r="225">
          <cell r="M225" t="str">
            <v>男</v>
          </cell>
        </row>
        <row r="226">
          <cell r="F226" t="str">
            <v>39.144.138.217(四川-成都)</v>
          </cell>
        </row>
        <row r="226">
          <cell r="M226" t="str">
            <v>男</v>
          </cell>
        </row>
        <row r="227">
          <cell r="F227" t="str">
            <v>171.218.162.130(四川-成都)</v>
          </cell>
        </row>
        <row r="227">
          <cell r="M227" t="str">
            <v>男</v>
          </cell>
        </row>
        <row r="228">
          <cell r="F228" t="str">
            <v>42.234.89.30(河南-南阳)</v>
          </cell>
        </row>
        <row r="228">
          <cell r="M228" t="str">
            <v>男</v>
          </cell>
        </row>
        <row r="229">
          <cell r="F229" t="str">
            <v>117.174.140.95(四川-泸州)</v>
          </cell>
        </row>
        <row r="229">
          <cell r="M229" t="str">
            <v>男</v>
          </cell>
        </row>
        <row r="230">
          <cell r="F230" t="str">
            <v>221.237.228.178(四川-广安)</v>
          </cell>
        </row>
        <row r="230">
          <cell r="M230" t="str">
            <v>男</v>
          </cell>
        </row>
        <row r="231">
          <cell r="F231" t="str">
            <v>223.160.137.189(北京-北京)</v>
          </cell>
        </row>
        <row r="231">
          <cell r="M231" t="str">
            <v>男</v>
          </cell>
        </row>
        <row r="232">
          <cell r="F232" t="str">
            <v>180.138.33.148(广西-柳州)</v>
          </cell>
        </row>
        <row r="232">
          <cell r="M232" t="str">
            <v>女</v>
          </cell>
        </row>
        <row r="233">
          <cell r="F233" t="str">
            <v>111.55.166.122(广西-南宁)</v>
          </cell>
        </row>
        <row r="233">
          <cell r="M233" t="str">
            <v>男</v>
          </cell>
        </row>
        <row r="234">
          <cell r="F234" t="str">
            <v>39.128.52.238(云南-大理)</v>
          </cell>
        </row>
        <row r="234">
          <cell r="M234" t="str">
            <v>男</v>
          </cell>
        </row>
        <row r="235">
          <cell r="F235" t="str">
            <v>125.73.23.109(广西-柳州)</v>
          </cell>
        </row>
        <row r="235">
          <cell r="M235" t="str">
            <v>女</v>
          </cell>
        </row>
        <row r="236">
          <cell r="F236" t="str">
            <v>183.17.232.189(广东-深圳)</v>
          </cell>
        </row>
        <row r="236">
          <cell r="M236" t="str">
            <v>女</v>
          </cell>
        </row>
        <row r="237">
          <cell r="F237" t="str">
            <v>123.172.65.147(吉林-长春)</v>
          </cell>
        </row>
        <row r="237">
          <cell r="M237" t="str">
            <v>男</v>
          </cell>
        </row>
        <row r="238">
          <cell r="F238" t="str">
            <v>123.11.111.189(河南-南阳)</v>
          </cell>
        </row>
        <row r="238">
          <cell r="M238" t="str">
            <v>男</v>
          </cell>
        </row>
        <row r="239">
          <cell r="F239" t="str">
            <v>116.26.128.167(广东-汕头)</v>
          </cell>
        </row>
        <row r="239">
          <cell r="M239" t="str">
            <v>男</v>
          </cell>
        </row>
        <row r="240">
          <cell r="F240" t="str">
            <v>182.39.89.187(山东-聊城)</v>
          </cell>
        </row>
        <row r="240">
          <cell r="M240" t="str">
            <v>男</v>
          </cell>
        </row>
        <row r="241">
          <cell r="F241" t="str">
            <v>117.136.113.91(浙江-金华)</v>
          </cell>
        </row>
        <row r="241">
          <cell r="M241" t="str">
            <v>男</v>
          </cell>
        </row>
        <row r="242">
          <cell r="F242" t="str">
            <v>39.144.134.1(广西-钦州)</v>
          </cell>
        </row>
        <row r="242">
          <cell r="M242" t="str">
            <v>男</v>
          </cell>
        </row>
        <row r="243">
          <cell r="F243" t="str">
            <v>182.127.40.243(河南-商丘)</v>
          </cell>
        </row>
        <row r="243">
          <cell r="M243" t="str">
            <v>女</v>
          </cell>
        </row>
        <row r="244">
          <cell r="F244" t="str">
            <v>223.67.193.196(江苏-连云港)</v>
          </cell>
        </row>
        <row r="244">
          <cell r="M244" t="str">
            <v>男</v>
          </cell>
        </row>
        <row r="245">
          <cell r="F245" t="str">
            <v>111.55.19.152(河南-郑州)</v>
          </cell>
        </row>
        <row r="245">
          <cell r="M245" t="str">
            <v>女</v>
          </cell>
        </row>
        <row r="246">
          <cell r="F246" t="str">
            <v>125.41.149.56(河南-郑州)</v>
          </cell>
        </row>
        <row r="246">
          <cell r="M246" t="str">
            <v>女</v>
          </cell>
        </row>
        <row r="247">
          <cell r="F247" t="str">
            <v>111.36.166.220(山东-济南)</v>
          </cell>
        </row>
        <row r="247">
          <cell r="M247" t="str">
            <v>男</v>
          </cell>
        </row>
        <row r="248">
          <cell r="F248" t="str">
            <v>39.144.109.109(山东-聊城)</v>
          </cell>
        </row>
        <row r="248">
          <cell r="M248" t="str">
            <v>男</v>
          </cell>
        </row>
        <row r="249">
          <cell r="F249" t="str">
            <v>39.88.188.44(山东-青岛)</v>
          </cell>
        </row>
        <row r="249">
          <cell r="M249" t="str">
            <v>男</v>
          </cell>
        </row>
        <row r="250">
          <cell r="F250" t="str">
            <v>112.19.110.152(四川-宜宾)</v>
          </cell>
        </row>
        <row r="250">
          <cell r="M250" t="str">
            <v>男</v>
          </cell>
        </row>
        <row r="251">
          <cell r="F251" t="str">
            <v>120.192.58.92(山东-东营)</v>
          </cell>
        </row>
        <row r="251">
          <cell r="M251" t="str">
            <v>男</v>
          </cell>
        </row>
        <row r="252">
          <cell r="F252" t="str">
            <v>183.209.182.60(江苏-徐州)</v>
          </cell>
        </row>
        <row r="252">
          <cell r="M252" t="str">
            <v>男</v>
          </cell>
        </row>
        <row r="253">
          <cell r="F253" t="str">
            <v>183.248.27.199(浙江-金华)</v>
          </cell>
        </row>
        <row r="253">
          <cell r="M253" t="str">
            <v>男</v>
          </cell>
        </row>
        <row r="254">
          <cell r="F254" t="str">
            <v>223.104.196.238(山东-菏泽)</v>
          </cell>
        </row>
        <row r="254">
          <cell r="M254" t="str">
            <v>男</v>
          </cell>
        </row>
        <row r="255">
          <cell r="F255" t="str">
            <v>42.84.232.44(辽宁-大连)</v>
          </cell>
        </row>
        <row r="255">
          <cell r="M255" t="str">
            <v>男</v>
          </cell>
        </row>
        <row r="256">
          <cell r="F256" t="str">
            <v>122.192.210.202(江苏-徐州)</v>
          </cell>
        </row>
        <row r="256">
          <cell r="M256" t="str">
            <v>女</v>
          </cell>
        </row>
        <row r="257">
          <cell r="F257" t="str">
            <v>122.192.210.200(江苏-徐州)</v>
          </cell>
        </row>
        <row r="257">
          <cell r="M257" t="str">
            <v>男</v>
          </cell>
        </row>
        <row r="258">
          <cell r="F258" t="str">
            <v>39.144.215.185(青海-西宁)</v>
          </cell>
        </row>
        <row r="258">
          <cell r="M258" t="str">
            <v>男</v>
          </cell>
        </row>
        <row r="259">
          <cell r="F259" t="str">
            <v>39.144.231.95(贵州-贵阳)</v>
          </cell>
        </row>
        <row r="259">
          <cell r="M259" t="str">
            <v>男</v>
          </cell>
        </row>
        <row r="260">
          <cell r="F260" t="str">
            <v>36.42.234.151(陕西-渭南)</v>
          </cell>
        </row>
        <row r="260">
          <cell r="M260" t="str">
            <v>女</v>
          </cell>
        </row>
        <row r="261">
          <cell r="F261" t="str">
            <v>39.144.73.239(宁夏-银川)</v>
          </cell>
        </row>
        <row r="261">
          <cell r="M261" t="str">
            <v>男</v>
          </cell>
        </row>
        <row r="262">
          <cell r="F262" t="str">
            <v>139.215.46.200(吉林-长春)</v>
          </cell>
        </row>
        <row r="262">
          <cell r="M262" t="str">
            <v>男</v>
          </cell>
        </row>
        <row r="263">
          <cell r="F263" t="str">
            <v>118.182.119.240(甘肃-平凉)</v>
          </cell>
        </row>
        <row r="263">
          <cell r="M263" t="str">
            <v>男</v>
          </cell>
        </row>
        <row r="264">
          <cell r="F264" t="str">
            <v>221.195.29.118(河北-沧州)</v>
          </cell>
        </row>
        <row r="264">
          <cell r="M264" t="str">
            <v>男</v>
          </cell>
        </row>
        <row r="265">
          <cell r="F265" t="str">
            <v>124.162.75.57(重庆-重庆)</v>
          </cell>
        </row>
        <row r="265">
          <cell r="M265" t="str">
            <v>男</v>
          </cell>
        </row>
        <row r="266">
          <cell r="F266" t="str">
            <v>106.34.17.251(河南-郑州)</v>
          </cell>
        </row>
        <row r="266">
          <cell r="M266" t="str">
            <v>男</v>
          </cell>
        </row>
        <row r="267">
          <cell r="F267" t="str">
            <v>39.144.73.239(宁夏-银川)</v>
          </cell>
        </row>
        <row r="267">
          <cell r="M267" t="str">
            <v>男</v>
          </cell>
        </row>
        <row r="268">
          <cell r="F268" t="str">
            <v>222.223.47.70(河北-沧州)</v>
          </cell>
        </row>
        <row r="268">
          <cell r="M268" t="str">
            <v>男</v>
          </cell>
        </row>
        <row r="269">
          <cell r="F269" t="str">
            <v>111.55.145.70(四川-成都)</v>
          </cell>
        </row>
        <row r="269">
          <cell r="M269" t="str">
            <v>女</v>
          </cell>
        </row>
        <row r="270">
          <cell r="F270" t="str">
            <v>112.18.69.76(四川-广安)</v>
          </cell>
        </row>
        <row r="270">
          <cell r="M270" t="str">
            <v>男</v>
          </cell>
        </row>
        <row r="271">
          <cell r="F271" t="str">
            <v>36.97.37.3(吉林-长春)</v>
          </cell>
        </row>
        <row r="271">
          <cell r="M271" t="str">
            <v>男</v>
          </cell>
        </row>
        <row r="272">
          <cell r="F272" t="str">
            <v>222.86.87.82(贵州-遵义)</v>
          </cell>
        </row>
        <row r="272">
          <cell r="M272" t="str">
            <v>男</v>
          </cell>
        </row>
        <row r="273">
          <cell r="F273" t="str">
            <v>27.187.74.254(河北-保定)</v>
          </cell>
        </row>
        <row r="273">
          <cell r="M273" t="str">
            <v>男</v>
          </cell>
        </row>
        <row r="274">
          <cell r="F274" t="str">
            <v>27.187.74.254(河北-保定)</v>
          </cell>
        </row>
        <row r="274">
          <cell r="M274" t="str">
            <v>男</v>
          </cell>
        </row>
        <row r="275">
          <cell r="F275" t="str">
            <v>39.144.109.3(山东-聊城)</v>
          </cell>
        </row>
        <row r="275">
          <cell r="M275" t="str">
            <v>男</v>
          </cell>
        </row>
        <row r="276">
          <cell r="F276" t="str">
            <v>120.244.44.208(北京-北京)</v>
          </cell>
        </row>
        <row r="276">
          <cell r="M276" t="str">
            <v>男</v>
          </cell>
        </row>
        <row r="277">
          <cell r="F277" t="str">
            <v>112.224.166.185(山东-青岛)</v>
          </cell>
        </row>
        <row r="277">
          <cell r="M277" t="str">
            <v>男</v>
          </cell>
        </row>
        <row r="278">
          <cell r="F278" t="str">
            <v>140.75.122.198(山东-青岛)</v>
          </cell>
        </row>
        <row r="278">
          <cell r="M278" t="str">
            <v>男</v>
          </cell>
        </row>
        <row r="279">
          <cell r="F279" t="str">
            <v>171.10.89.75(河南-郑州)</v>
          </cell>
        </row>
        <row r="279">
          <cell r="M279" t="str">
            <v>男</v>
          </cell>
        </row>
        <row r="280">
          <cell r="F280" t="str">
            <v>125.42.177.141(河南-新乡)</v>
          </cell>
        </row>
        <row r="280">
          <cell r="M280" t="str">
            <v>男</v>
          </cell>
        </row>
        <row r="281">
          <cell r="F281" t="str">
            <v>123.101.255.111(河南-郑州)</v>
          </cell>
        </row>
        <row r="281">
          <cell r="M281" t="str">
            <v>男</v>
          </cell>
        </row>
        <row r="282">
          <cell r="F282" t="str">
            <v>112.224.181.238(山东-济南)</v>
          </cell>
        </row>
        <row r="282">
          <cell r="M282" t="str">
            <v>男</v>
          </cell>
        </row>
        <row r="283">
          <cell r="F283" t="str">
            <v>182.35.28.209(山东-泰安)</v>
          </cell>
        </row>
        <row r="283">
          <cell r="M283" t="str">
            <v>男</v>
          </cell>
        </row>
        <row r="284">
          <cell r="F284" t="str">
            <v>123.168.237.126(山东-潍坊)</v>
          </cell>
        </row>
        <row r="284">
          <cell r="M284" t="str">
            <v>男</v>
          </cell>
        </row>
        <row r="285">
          <cell r="F285" t="str">
            <v>144.12.222.193(山东-滨州)</v>
          </cell>
        </row>
        <row r="285">
          <cell r="M285" t="str">
            <v>男</v>
          </cell>
        </row>
        <row r="286">
          <cell r="F286" t="str">
            <v>223.160.165.78(山东-济南)</v>
          </cell>
        </row>
        <row r="286">
          <cell r="M286" t="str">
            <v>男</v>
          </cell>
        </row>
        <row r="287">
          <cell r="F287" t="str">
            <v>61.188.119.149(四川-自贡)</v>
          </cell>
        </row>
        <row r="287">
          <cell r="M287" t="str">
            <v>男</v>
          </cell>
        </row>
        <row r="288">
          <cell r="F288" t="str">
            <v>223.104.234.75(新疆-阿克苏)</v>
          </cell>
        </row>
        <row r="288">
          <cell r="M288" t="str">
            <v>男</v>
          </cell>
        </row>
        <row r="289">
          <cell r="F289" t="str">
            <v>171.92.45.10(四川-遂宁)</v>
          </cell>
        </row>
        <row r="289">
          <cell r="M289" t="str">
            <v>男</v>
          </cell>
        </row>
        <row r="290">
          <cell r="F290" t="str">
            <v>61.54.104.125(河南-新乡)</v>
          </cell>
        </row>
        <row r="290">
          <cell r="M290" t="str">
            <v>男</v>
          </cell>
        </row>
        <row r="291">
          <cell r="F291" t="str">
            <v>39.144.230.28(贵州-遵义)</v>
          </cell>
        </row>
        <row r="291">
          <cell r="M291" t="str">
            <v>男</v>
          </cell>
        </row>
        <row r="292">
          <cell r="F292" t="str">
            <v>182.35.28.209(山东-泰安)</v>
          </cell>
        </row>
        <row r="292">
          <cell r="M292" t="str">
            <v>男</v>
          </cell>
        </row>
        <row r="293">
          <cell r="F293" t="str">
            <v>39.144.178.55(河南-开封)</v>
          </cell>
        </row>
        <row r="293">
          <cell r="M293" t="str">
            <v>男</v>
          </cell>
        </row>
        <row r="294">
          <cell r="F294" t="str">
            <v>223.104.155.186(江苏-南京)</v>
          </cell>
        </row>
        <row r="294">
          <cell r="M294" t="str">
            <v>男</v>
          </cell>
        </row>
        <row r="295">
          <cell r="F295" t="str">
            <v>144.12.164.114(山东-聊城)</v>
          </cell>
        </row>
        <row r="295">
          <cell r="M295" t="str">
            <v>女</v>
          </cell>
        </row>
        <row r="296">
          <cell r="F296" t="str">
            <v>218.201.127.109(山东-淄博)</v>
          </cell>
        </row>
        <row r="296">
          <cell r="M296" t="str">
            <v>男</v>
          </cell>
        </row>
        <row r="297">
          <cell r="F297" t="str">
            <v>39.148.174.129(河南-安阳)</v>
          </cell>
        </row>
        <row r="297">
          <cell r="M297" t="str">
            <v>男</v>
          </cell>
        </row>
        <row r="298">
          <cell r="F298" t="str">
            <v>223.160.160.48(山东-济南)</v>
          </cell>
        </row>
        <row r="298">
          <cell r="M298" t="str">
            <v>男</v>
          </cell>
        </row>
        <row r="299">
          <cell r="F299" t="str">
            <v>182.46.152.34(山东-聊城)</v>
          </cell>
        </row>
        <row r="299">
          <cell r="M299" t="str">
            <v>男</v>
          </cell>
        </row>
        <row r="300">
          <cell r="F300" t="str">
            <v>120.245.10.98(北京-北京)</v>
          </cell>
        </row>
        <row r="300">
          <cell r="M300" t="str">
            <v>女</v>
          </cell>
        </row>
        <row r="301">
          <cell r="F301" t="str">
            <v>112.224.223.144(山东-济南)</v>
          </cell>
        </row>
        <row r="301">
          <cell r="M301" t="str">
            <v>男</v>
          </cell>
        </row>
        <row r="302">
          <cell r="F302" t="str">
            <v>221.1.173.102(山东-泰安)</v>
          </cell>
        </row>
        <row r="302">
          <cell r="M302" t="str">
            <v>男</v>
          </cell>
        </row>
        <row r="303">
          <cell r="F303" t="str">
            <v>112.103.143.41(黑龙江-哈尔滨)</v>
          </cell>
        </row>
        <row r="303">
          <cell r="M303" t="str">
            <v>男</v>
          </cell>
        </row>
        <row r="304">
          <cell r="F304" t="str">
            <v>211.90.237.106(浙江-杭州)</v>
          </cell>
        </row>
        <row r="304">
          <cell r="M304" t="str">
            <v>男</v>
          </cell>
        </row>
        <row r="305">
          <cell r="F305" t="str">
            <v>182.118.236.151(河南-郑州)</v>
          </cell>
        </row>
        <row r="305">
          <cell r="M305" t="str">
            <v>男</v>
          </cell>
        </row>
        <row r="306">
          <cell r="F306" t="str">
            <v>112.224.199.201(山东-临沂)</v>
          </cell>
        </row>
        <row r="306">
          <cell r="M306" t="str">
            <v>男</v>
          </cell>
        </row>
        <row r="307">
          <cell r="F307" t="str">
            <v>223.104.234.32(新疆-阿克苏)</v>
          </cell>
        </row>
        <row r="307">
          <cell r="M307" t="str">
            <v>男</v>
          </cell>
        </row>
        <row r="308">
          <cell r="F308" t="str">
            <v>39.144.22.149(河南-新乡)</v>
          </cell>
        </row>
        <row r="308">
          <cell r="M308" t="str">
            <v>女</v>
          </cell>
        </row>
        <row r="309">
          <cell r="F309" t="str">
            <v>120.224.34.227(山东-济南)</v>
          </cell>
        </row>
        <row r="309">
          <cell r="M309" t="str">
            <v>男</v>
          </cell>
        </row>
        <row r="310">
          <cell r="F310" t="str">
            <v>39.144.228.76(贵州-贵阳)</v>
          </cell>
        </row>
        <row r="310">
          <cell r="M310" t="str">
            <v>男</v>
          </cell>
        </row>
        <row r="311">
          <cell r="F311" t="str">
            <v>119.183.48.149(山东-德州)</v>
          </cell>
        </row>
        <row r="311">
          <cell r="M311" t="str">
            <v>女</v>
          </cell>
        </row>
        <row r="312">
          <cell r="F312" t="str">
            <v>182.116.242.111(河南-濮阳)</v>
          </cell>
        </row>
        <row r="312">
          <cell r="M312" t="str">
            <v>男</v>
          </cell>
        </row>
        <row r="313">
          <cell r="F313" t="str">
            <v>182.118.239.81(河南-郑州)</v>
          </cell>
        </row>
        <row r="313">
          <cell r="M313" t="str">
            <v>男</v>
          </cell>
        </row>
        <row r="314">
          <cell r="F314" t="str">
            <v>114.235.205.106(江苏-徐州)</v>
          </cell>
        </row>
        <row r="314">
          <cell r="M314" t="str">
            <v>男</v>
          </cell>
        </row>
        <row r="315">
          <cell r="F315" t="str">
            <v>124.64.23.156(北京-北京)</v>
          </cell>
        </row>
        <row r="315">
          <cell r="M315" t="str">
            <v>男</v>
          </cell>
        </row>
        <row r="316">
          <cell r="F316" t="str">
            <v>120.225.21.19(山东-济南)</v>
          </cell>
        </row>
        <row r="316">
          <cell r="M316" t="str">
            <v>男</v>
          </cell>
        </row>
        <row r="317">
          <cell r="F317" t="str">
            <v>223.104.155.252(江苏-南京)</v>
          </cell>
        </row>
        <row r="317">
          <cell r="M317" t="str">
            <v>男</v>
          </cell>
        </row>
        <row r="318">
          <cell r="F318" t="str">
            <v>223.104.155.252(江苏-南京)</v>
          </cell>
        </row>
        <row r="318">
          <cell r="M318" t="str">
            <v>男</v>
          </cell>
        </row>
        <row r="319">
          <cell r="F319" t="str">
            <v>123.12.101.21(河南-濮阳)</v>
          </cell>
        </row>
        <row r="319">
          <cell r="M319" t="str">
            <v>男</v>
          </cell>
        </row>
        <row r="320">
          <cell r="F320" t="str">
            <v>117.132.74.141(山东-淄博)</v>
          </cell>
        </row>
        <row r="320">
          <cell r="M320" t="str">
            <v>男</v>
          </cell>
        </row>
        <row r="321">
          <cell r="F321" t="str">
            <v>117.132.52.236(山东-济宁)</v>
          </cell>
        </row>
        <row r="321">
          <cell r="M321" t="str">
            <v>男</v>
          </cell>
        </row>
        <row r="322">
          <cell r="F322" t="str">
            <v>36.45.103.93(陕西-西安)</v>
          </cell>
        </row>
        <row r="322">
          <cell r="M322" t="str">
            <v>男</v>
          </cell>
        </row>
        <row r="323">
          <cell r="F323" t="str">
            <v>116.178.123.45(新疆-乌鲁木齐)</v>
          </cell>
        </row>
        <row r="323">
          <cell r="M323" t="str">
            <v>男</v>
          </cell>
        </row>
        <row r="324">
          <cell r="F324" t="str">
            <v>117.189.2.245(贵州-贵阳)</v>
          </cell>
        </row>
        <row r="324">
          <cell r="M324" t="str">
            <v>男</v>
          </cell>
        </row>
        <row r="325">
          <cell r="F325" t="str">
            <v>223.90.169.168(河南-开封)</v>
          </cell>
        </row>
        <row r="325">
          <cell r="M325" t="str">
            <v>女</v>
          </cell>
        </row>
        <row r="326">
          <cell r="F326" t="str">
            <v>112.47.224.183(福建-泉州)</v>
          </cell>
        </row>
        <row r="326">
          <cell r="M326" t="str">
            <v>男</v>
          </cell>
        </row>
        <row r="327">
          <cell r="F327" t="str">
            <v>116.169.71.148(四川-成都)</v>
          </cell>
        </row>
        <row r="327">
          <cell r="M327" t="str">
            <v>女</v>
          </cell>
        </row>
        <row r="328">
          <cell r="F328" t="str">
            <v>144.255.12.241(山东-济南)</v>
          </cell>
        </row>
        <row r="328">
          <cell r="M328" t="str">
            <v>男</v>
          </cell>
        </row>
        <row r="329">
          <cell r="F329" t="str">
            <v>223.89.61.9(河南-濮阳)</v>
          </cell>
        </row>
        <row r="329">
          <cell r="M329" t="str">
            <v>男</v>
          </cell>
        </row>
        <row r="330">
          <cell r="F330" t="str">
            <v>123.53.255.73(河南-平顶山)</v>
          </cell>
        </row>
        <row r="330">
          <cell r="M330" t="str">
            <v>男</v>
          </cell>
        </row>
        <row r="331">
          <cell r="F331" t="str">
            <v>182.118.236.108(河南-郑州)</v>
          </cell>
        </row>
        <row r="331">
          <cell r="M331" t="str">
            <v>女</v>
          </cell>
        </row>
        <row r="332">
          <cell r="F332" t="str">
            <v>182.118.239.73(河南-郑州)</v>
          </cell>
        </row>
        <row r="332">
          <cell r="M332" t="str">
            <v>女</v>
          </cell>
        </row>
        <row r="333">
          <cell r="F333" t="str">
            <v>112.9.33.150(山东-青岛)</v>
          </cell>
        </row>
        <row r="333">
          <cell r="M333" t="str">
            <v>男</v>
          </cell>
        </row>
        <row r="334">
          <cell r="F334" t="str">
            <v>125.71.171.107(四川-成都)</v>
          </cell>
        </row>
        <row r="334">
          <cell r="M334" t="str">
            <v>男</v>
          </cell>
        </row>
        <row r="335">
          <cell r="F335" t="str">
            <v>60.222.158.110(山西-运城)</v>
          </cell>
        </row>
        <row r="335">
          <cell r="M335" t="str">
            <v>女</v>
          </cell>
        </row>
        <row r="336">
          <cell r="F336" t="str">
            <v>223.104.152.72(江苏-连云港)</v>
          </cell>
        </row>
        <row r="336">
          <cell r="M336" t="str">
            <v>女</v>
          </cell>
        </row>
        <row r="337">
          <cell r="F337" t="str">
            <v>223.104.39.235(北京-北京)</v>
          </cell>
        </row>
        <row r="337">
          <cell r="M337" t="str">
            <v>男</v>
          </cell>
        </row>
        <row r="338">
          <cell r="F338" t="str">
            <v>219.152.40.247(重庆-重庆)</v>
          </cell>
        </row>
        <row r="338">
          <cell r="M338" t="str">
            <v>男</v>
          </cell>
        </row>
        <row r="339">
          <cell r="F339" t="str">
            <v>112.99.234.86(黑龙江-黑河)</v>
          </cell>
        </row>
        <row r="339">
          <cell r="M339" t="str">
            <v>男</v>
          </cell>
        </row>
        <row r="340">
          <cell r="F340" t="str">
            <v>59.45.220.238(辽宁-辽阳)</v>
          </cell>
        </row>
        <row r="340">
          <cell r="M340" t="str">
            <v>男</v>
          </cell>
        </row>
        <row r="341">
          <cell r="F341" t="str">
            <v>223.104.202.29(陕西-咸阳)</v>
          </cell>
        </row>
        <row r="341">
          <cell r="M341" t="str">
            <v>男</v>
          </cell>
        </row>
        <row r="342">
          <cell r="F342" t="str">
            <v>111.55.150.186(四川-成都)</v>
          </cell>
        </row>
        <row r="342">
          <cell r="M342" t="str">
            <v>女</v>
          </cell>
        </row>
        <row r="343">
          <cell r="F343" t="str">
            <v>175.161.149.2(辽宁-沈阳)</v>
          </cell>
        </row>
        <row r="343">
          <cell r="M343" t="str">
            <v>男</v>
          </cell>
        </row>
        <row r="344">
          <cell r="F344" t="str">
            <v>122.6.176.54(山东-临沂)</v>
          </cell>
        </row>
        <row r="344">
          <cell r="M344" t="str">
            <v>男</v>
          </cell>
        </row>
        <row r="345">
          <cell r="F345" t="str">
            <v>116.130.191.116(天津-天津)</v>
          </cell>
        </row>
        <row r="345">
          <cell r="M345" t="str">
            <v>男</v>
          </cell>
        </row>
        <row r="346">
          <cell r="F346" t="str">
            <v>223.104.39.235(北京-北京)</v>
          </cell>
        </row>
        <row r="346">
          <cell r="M346" t="str">
            <v>男</v>
          </cell>
        </row>
        <row r="347">
          <cell r="F347" t="str">
            <v>219.152.40.247(重庆-重庆)</v>
          </cell>
        </row>
        <row r="347">
          <cell r="M347" t="str">
            <v>男</v>
          </cell>
        </row>
        <row r="348">
          <cell r="F348" t="str">
            <v>171.213.185.137(四川-成都)</v>
          </cell>
        </row>
        <row r="348">
          <cell r="M348" t="str">
            <v>男</v>
          </cell>
        </row>
        <row r="349">
          <cell r="F349" t="str">
            <v>183.137.178.223(浙江-杭州)</v>
          </cell>
        </row>
        <row r="349">
          <cell r="M349" t="str">
            <v>男</v>
          </cell>
        </row>
        <row r="350">
          <cell r="F350" t="str">
            <v>110.184.224.180(四川-成都)</v>
          </cell>
        </row>
        <row r="350">
          <cell r="M350" t="str">
            <v>男</v>
          </cell>
        </row>
        <row r="351">
          <cell r="F351" t="str">
            <v>180.98.171.18(江苏-苏州)</v>
          </cell>
        </row>
        <row r="351">
          <cell r="M351" t="str">
            <v>男</v>
          </cell>
        </row>
        <row r="352">
          <cell r="F352" t="str">
            <v>1.48.96.250(贵州-黔南)</v>
          </cell>
        </row>
        <row r="352">
          <cell r="M352" t="str">
            <v>男</v>
          </cell>
        </row>
        <row r="353">
          <cell r="F353" t="str">
            <v>112.224.163.138(山东-济南)</v>
          </cell>
        </row>
        <row r="353">
          <cell r="M353" t="str">
            <v>男</v>
          </cell>
        </row>
        <row r="354">
          <cell r="F354" t="str">
            <v>49.84.37.126(江苏-镇江)</v>
          </cell>
        </row>
        <row r="354">
          <cell r="M354" t="str">
            <v>男</v>
          </cell>
        </row>
        <row r="355">
          <cell r="F355" t="str">
            <v>27.197.71.181(山东-临沂)</v>
          </cell>
        </row>
        <row r="355">
          <cell r="M355" t="str">
            <v>男</v>
          </cell>
        </row>
        <row r="356">
          <cell r="F356" t="str">
            <v>58.56.230.146(山东-德州)</v>
          </cell>
        </row>
        <row r="356">
          <cell r="M356" t="str">
            <v>男</v>
          </cell>
        </row>
        <row r="357">
          <cell r="F357" t="str">
            <v>60.188.131.114(浙江-台州)</v>
          </cell>
        </row>
        <row r="357">
          <cell r="M357" t="str">
            <v>男</v>
          </cell>
        </row>
        <row r="358">
          <cell r="F358" t="str">
            <v>183.220.53.254(四川-德阳)</v>
          </cell>
        </row>
        <row r="358">
          <cell r="M358" t="str">
            <v>男</v>
          </cell>
        </row>
        <row r="359">
          <cell r="F359" t="str">
            <v>119.50.10.162(吉林-延边)</v>
          </cell>
        </row>
        <row r="359">
          <cell r="M359" t="str">
            <v>男</v>
          </cell>
        </row>
        <row r="360">
          <cell r="F360" t="str">
            <v>139.170.170.16(青海-海东)</v>
          </cell>
        </row>
        <row r="360">
          <cell r="M360" t="str">
            <v>女</v>
          </cell>
        </row>
        <row r="361">
          <cell r="F361" t="str">
            <v>139.215.45.184(吉林-长春)</v>
          </cell>
        </row>
        <row r="361">
          <cell r="M361" t="str">
            <v>男</v>
          </cell>
        </row>
        <row r="362">
          <cell r="F362" t="str">
            <v>113.251.214.36(重庆-重庆)</v>
          </cell>
        </row>
        <row r="362">
          <cell r="M362" t="str">
            <v>男</v>
          </cell>
        </row>
        <row r="363">
          <cell r="F363" t="str">
            <v>111.227.99.209(河北-唐山)</v>
          </cell>
        </row>
        <row r="363">
          <cell r="M363" t="str">
            <v>男</v>
          </cell>
        </row>
        <row r="364">
          <cell r="F364" t="str">
            <v>223.104.195.226(山东-泰安)</v>
          </cell>
        </row>
        <row r="364">
          <cell r="M364" t="str">
            <v>男</v>
          </cell>
        </row>
        <row r="365">
          <cell r="F365" t="str">
            <v>222.137.135.15(河南-郑州)</v>
          </cell>
        </row>
        <row r="365">
          <cell r="M365" t="str">
            <v>男</v>
          </cell>
        </row>
        <row r="366">
          <cell r="F366" t="str">
            <v>111.50.78.130(宁夏-银川)</v>
          </cell>
        </row>
        <row r="366">
          <cell r="M366" t="str">
            <v>男</v>
          </cell>
        </row>
        <row r="367">
          <cell r="F367" t="str">
            <v>221.238.240.50(天津-天津)</v>
          </cell>
        </row>
        <row r="367">
          <cell r="M367" t="str">
            <v>男</v>
          </cell>
        </row>
        <row r="368">
          <cell r="F368" t="str">
            <v>39.149.23.58(河南-洛阳)</v>
          </cell>
        </row>
        <row r="368">
          <cell r="M368" t="str">
            <v>男</v>
          </cell>
        </row>
        <row r="369">
          <cell r="F369" t="str">
            <v>171.12.65.24(河南-开封)</v>
          </cell>
        </row>
        <row r="369">
          <cell r="M369" t="str">
            <v>男</v>
          </cell>
        </row>
        <row r="370">
          <cell r="F370" t="str">
            <v>91.124.208.138(国外-乌克兰)</v>
          </cell>
        </row>
        <row r="370">
          <cell r="M370" t="str">
            <v>男</v>
          </cell>
        </row>
        <row r="371">
          <cell r="F371" t="str">
            <v>36.48.28.209(吉林-长春)</v>
          </cell>
        </row>
        <row r="371">
          <cell r="M371" t="str">
            <v>男</v>
          </cell>
        </row>
        <row r="372">
          <cell r="F372" t="str">
            <v>183.229.126.35(重庆-重庆)</v>
          </cell>
        </row>
        <row r="372">
          <cell r="M372" t="str">
            <v>男</v>
          </cell>
        </row>
        <row r="373">
          <cell r="F373" t="str">
            <v>111.50.78.130(宁夏-银川)</v>
          </cell>
        </row>
        <row r="373">
          <cell r="M373" t="str">
            <v>男</v>
          </cell>
        </row>
        <row r="374">
          <cell r="F374" t="str">
            <v>223.104.166.185(浙江-台州)</v>
          </cell>
        </row>
        <row r="374">
          <cell r="M374" t="str">
            <v>男</v>
          </cell>
        </row>
        <row r="375">
          <cell r="F375" t="str">
            <v>223.98.98.68(山东-枣庄)</v>
          </cell>
        </row>
        <row r="375">
          <cell r="M375" t="str">
            <v>男</v>
          </cell>
        </row>
        <row r="376">
          <cell r="F376" t="str">
            <v>223.88.91.150(河南-郑州)</v>
          </cell>
        </row>
        <row r="376">
          <cell r="M376" t="str">
            <v>男</v>
          </cell>
        </row>
        <row r="377">
          <cell r="F377" t="str">
            <v>115.60.161.207(河南-郑州)</v>
          </cell>
        </row>
        <row r="377">
          <cell r="M377" t="str">
            <v>男</v>
          </cell>
        </row>
        <row r="378">
          <cell r="F378" t="str">
            <v>111.15.165.44(山东-青岛)</v>
          </cell>
        </row>
        <row r="378">
          <cell r="M378" t="str">
            <v>男</v>
          </cell>
        </row>
        <row r="379">
          <cell r="F379" t="str">
            <v>117.150.32.24(湖北-襄阳)</v>
          </cell>
        </row>
        <row r="379">
          <cell r="M379" t="str">
            <v>男</v>
          </cell>
        </row>
        <row r="380">
          <cell r="F380" t="str">
            <v>116.16.242.238(广东-揭阳)</v>
          </cell>
        </row>
        <row r="380">
          <cell r="M380" t="str">
            <v>女</v>
          </cell>
        </row>
        <row r="381">
          <cell r="F381" t="str">
            <v>117.158.114.74(河南-平顶山)</v>
          </cell>
        </row>
        <row r="381">
          <cell r="M381" t="str">
            <v>男</v>
          </cell>
        </row>
        <row r="382">
          <cell r="F382" t="str">
            <v>223.155.121.161(湖南-邵阳)</v>
          </cell>
        </row>
        <row r="382">
          <cell r="M382" t="str">
            <v>男</v>
          </cell>
        </row>
        <row r="383">
          <cell r="F383" t="str">
            <v>223.104.119.156(湖北-咸宁)</v>
          </cell>
        </row>
        <row r="383">
          <cell r="M383" t="str">
            <v>男</v>
          </cell>
        </row>
        <row r="384">
          <cell r="F384" t="str">
            <v>183.230.175.53(重庆-重庆)</v>
          </cell>
        </row>
        <row r="384">
          <cell r="M384" t="str">
            <v>男</v>
          </cell>
        </row>
        <row r="385">
          <cell r="F385" t="str">
            <v>116.130.167.18(天津-天津)</v>
          </cell>
        </row>
        <row r="385">
          <cell r="M385" t="str">
            <v>男</v>
          </cell>
        </row>
        <row r="386">
          <cell r="F386" t="str">
            <v>223.104.122.61(湖北-武汉)</v>
          </cell>
        </row>
        <row r="386">
          <cell r="M386" t="str">
            <v>男</v>
          </cell>
        </row>
        <row r="387">
          <cell r="F387" t="str">
            <v>111.49.162.120(宁夏-吴忠)</v>
          </cell>
        </row>
        <row r="387">
          <cell r="M387" t="str">
            <v>男</v>
          </cell>
        </row>
        <row r="388">
          <cell r="F388" t="str">
            <v>221.7.223.21(广西-钦州)</v>
          </cell>
        </row>
        <row r="388">
          <cell r="M388" t="str">
            <v>男</v>
          </cell>
        </row>
        <row r="389">
          <cell r="F389" t="str">
            <v>61.178.184.85(甘肃-武威)</v>
          </cell>
        </row>
        <row r="389">
          <cell r="M389" t="str">
            <v>男</v>
          </cell>
        </row>
        <row r="390">
          <cell r="F390" t="str">
            <v>171.212.106.71(四川-成都)</v>
          </cell>
        </row>
        <row r="390">
          <cell r="M390" t="str">
            <v>男</v>
          </cell>
        </row>
        <row r="391">
          <cell r="F391" t="str">
            <v>125.84.201.130(重庆-重庆)</v>
          </cell>
        </row>
        <row r="391">
          <cell r="M391" t="str">
            <v>男</v>
          </cell>
        </row>
        <row r="392">
          <cell r="F392" t="str">
            <v>112.96.202.51(广东-广州)</v>
          </cell>
        </row>
        <row r="392">
          <cell r="M392" t="str">
            <v>男</v>
          </cell>
        </row>
        <row r="393">
          <cell r="F393" t="str">
            <v>61.178.184.85(甘肃-武威)</v>
          </cell>
        </row>
        <row r="393">
          <cell r="M393" t="str">
            <v>男</v>
          </cell>
        </row>
        <row r="394">
          <cell r="F394" t="str">
            <v>223.104.80.170(广东-广州)</v>
          </cell>
        </row>
        <row r="394">
          <cell r="M394" t="str">
            <v>男</v>
          </cell>
        </row>
        <row r="395">
          <cell r="F395" t="str">
            <v>182.131.70.21(四川-广安)</v>
          </cell>
        </row>
        <row r="395">
          <cell r="M395" t="str">
            <v>男</v>
          </cell>
        </row>
        <row r="396">
          <cell r="F396" t="str">
            <v>125.43.76.178(河南-洛阳)</v>
          </cell>
        </row>
        <row r="396">
          <cell r="M396" t="str">
            <v>男</v>
          </cell>
        </row>
        <row r="397">
          <cell r="F397" t="str">
            <v>111.181.155.15(湖北-恩施)</v>
          </cell>
        </row>
        <row r="397">
          <cell r="M397" t="str">
            <v>男</v>
          </cell>
        </row>
        <row r="398">
          <cell r="F398" t="str">
            <v>111.183.65.215(湖北-武汉)</v>
          </cell>
        </row>
        <row r="398">
          <cell r="M398" t="str">
            <v>男</v>
          </cell>
        </row>
        <row r="399">
          <cell r="F399" t="str">
            <v>106.6.226.196(江西-抚州)</v>
          </cell>
        </row>
        <row r="399">
          <cell r="M399" t="str">
            <v>男</v>
          </cell>
        </row>
        <row r="400">
          <cell r="F400" t="str">
            <v>223.104.71.69(广东-汕头)</v>
          </cell>
        </row>
        <row r="400">
          <cell r="M400" t="str">
            <v>男</v>
          </cell>
        </row>
        <row r="401">
          <cell r="F401" t="str">
            <v>125.43.77.84(河南-洛阳)</v>
          </cell>
        </row>
        <row r="401">
          <cell r="M401" t="str">
            <v>男</v>
          </cell>
        </row>
        <row r="402">
          <cell r="F402" t="str">
            <v>223.104.121.101(湖北-武汉)</v>
          </cell>
        </row>
        <row r="402">
          <cell r="M402" t="str">
            <v>男</v>
          </cell>
        </row>
        <row r="403">
          <cell r="F403" t="str">
            <v>223.74.89.77(广东-茂名)</v>
          </cell>
        </row>
        <row r="403">
          <cell r="M403" t="str">
            <v>男</v>
          </cell>
        </row>
        <row r="404">
          <cell r="F404" t="str">
            <v>139.215.45.144(吉林-长春)</v>
          </cell>
        </row>
        <row r="404">
          <cell r="M404" t="str">
            <v>男</v>
          </cell>
        </row>
        <row r="405">
          <cell r="F405" t="str">
            <v>14.120.113.254(广东-东莞)</v>
          </cell>
        </row>
        <row r="405">
          <cell r="M405" t="str">
            <v>男</v>
          </cell>
        </row>
        <row r="406">
          <cell r="F406" t="str">
            <v>211.156.84.53(福建-泉州)</v>
          </cell>
        </row>
        <row r="406">
          <cell r="M406" t="str">
            <v>男</v>
          </cell>
        </row>
        <row r="407">
          <cell r="F407" t="str">
            <v>39.69.197.218(山东-潍坊)</v>
          </cell>
        </row>
        <row r="407">
          <cell r="M407" t="str">
            <v>男</v>
          </cell>
        </row>
        <row r="408">
          <cell r="F408" t="str">
            <v>111.55.10.140(广西-柳州)</v>
          </cell>
        </row>
        <row r="408">
          <cell r="M408" t="str">
            <v>男</v>
          </cell>
        </row>
        <row r="409">
          <cell r="F409" t="str">
            <v>59.42.191.174(广东-广州)</v>
          </cell>
        </row>
        <row r="409">
          <cell r="M409" t="str">
            <v>男</v>
          </cell>
        </row>
        <row r="410">
          <cell r="F410" t="str">
            <v>111.227.23.63(河北-唐山)</v>
          </cell>
        </row>
        <row r="410">
          <cell r="M410" t="str">
            <v>女</v>
          </cell>
        </row>
        <row r="411">
          <cell r="F411" t="str">
            <v>223.240.58.170(安徽-淮南)</v>
          </cell>
        </row>
        <row r="411">
          <cell r="M411" t="str">
            <v>男</v>
          </cell>
        </row>
        <row r="412">
          <cell r="F412" t="str">
            <v>36.21.195.94(浙江-杭州)</v>
          </cell>
        </row>
        <row r="412">
          <cell r="M412" t="str">
            <v>男</v>
          </cell>
        </row>
        <row r="413">
          <cell r="F413" t="str">
            <v>14.120.113.254(广东-东莞)</v>
          </cell>
        </row>
        <row r="413">
          <cell r="M413" t="str">
            <v>男</v>
          </cell>
        </row>
        <row r="414">
          <cell r="F414" t="str">
            <v>120.217.48.7(河南-郑州)</v>
          </cell>
        </row>
        <row r="414">
          <cell r="M414" t="str">
            <v>男</v>
          </cell>
        </row>
        <row r="415">
          <cell r="F415" t="str">
            <v>39.69.197.218(山东-潍坊)</v>
          </cell>
        </row>
        <row r="415">
          <cell r="M415" t="str">
            <v>男</v>
          </cell>
        </row>
        <row r="416">
          <cell r="F416" t="str">
            <v>39.144.182.160(河南-新乡)</v>
          </cell>
        </row>
        <row r="416">
          <cell r="M416" t="str">
            <v>女</v>
          </cell>
        </row>
        <row r="417">
          <cell r="F417" t="str">
            <v>1.198.140.72(河南-焦作)</v>
          </cell>
        </row>
        <row r="417">
          <cell r="M417" t="str">
            <v>男</v>
          </cell>
        </row>
        <row r="418">
          <cell r="F418" t="str">
            <v>119.100.40.109(湖北-黄石)</v>
          </cell>
        </row>
        <row r="418">
          <cell r="M418" t="str">
            <v>男</v>
          </cell>
        </row>
        <row r="419">
          <cell r="F419" t="str">
            <v>106.16.234.247(湖南-长沙)</v>
          </cell>
        </row>
        <row r="419">
          <cell r="M419" t="str">
            <v>女</v>
          </cell>
        </row>
        <row r="420">
          <cell r="F420" t="str">
            <v>123.147.244.213(重庆-重庆)</v>
          </cell>
        </row>
        <row r="420">
          <cell r="M420" t="str">
            <v>男</v>
          </cell>
        </row>
        <row r="421">
          <cell r="F421" t="str">
            <v>182.89.64.73(广西-柳州)</v>
          </cell>
        </row>
        <row r="421">
          <cell r="M421" t="str">
            <v>男</v>
          </cell>
        </row>
        <row r="422">
          <cell r="F422" t="str">
            <v>111.9.161.184(四川-南充)</v>
          </cell>
        </row>
        <row r="422">
          <cell r="M422" t="str">
            <v>男</v>
          </cell>
        </row>
        <row r="423">
          <cell r="F423" t="str">
            <v>125.45.126.231(河南-南阳)</v>
          </cell>
        </row>
        <row r="423">
          <cell r="M423" t="str">
            <v>男</v>
          </cell>
        </row>
        <row r="424">
          <cell r="F424" t="str">
            <v>180.98.9.119(江苏-泰州)</v>
          </cell>
        </row>
        <row r="424">
          <cell r="M424" t="str">
            <v>女</v>
          </cell>
        </row>
        <row r="425">
          <cell r="F425" t="str">
            <v>39.144.177.164(河南-洛阳)</v>
          </cell>
        </row>
        <row r="425">
          <cell r="M425" t="str">
            <v>男</v>
          </cell>
        </row>
        <row r="426">
          <cell r="F426" t="str">
            <v>223.104.107.129(河南-郑州)</v>
          </cell>
        </row>
        <row r="426">
          <cell r="M426" t="str">
            <v>男</v>
          </cell>
        </row>
        <row r="427">
          <cell r="F427" t="str">
            <v>117.172.167.80(四川-宜宾)</v>
          </cell>
        </row>
        <row r="427">
          <cell r="M427" t="str">
            <v>男</v>
          </cell>
        </row>
        <row r="428">
          <cell r="F428" t="str">
            <v>61.242.134.225(湖北-武汉)</v>
          </cell>
        </row>
        <row r="428">
          <cell r="M428" t="str">
            <v>女</v>
          </cell>
        </row>
        <row r="429">
          <cell r="F429" t="str">
            <v>106.92.93.141(重庆-重庆)</v>
          </cell>
        </row>
        <row r="429">
          <cell r="M429" t="str">
            <v>男</v>
          </cell>
        </row>
        <row r="430">
          <cell r="F430" t="str">
            <v>182.143.166.239(四川-成都)</v>
          </cell>
        </row>
        <row r="430">
          <cell r="M430" t="str">
            <v>男</v>
          </cell>
        </row>
        <row r="431">
          <cell r="F431" t="str">
            <v>171.218.206.236(四川-成都)</v>
          </cell>
        </row>
        <row r="431">
          <cell r="M431" t="str">
            <v>男</v>
          </cell>
        </row>
        <row r="432">
          <cell r="F432" t="str">
            <v>36.170.44.158(四川-成都)</v>
          </cell>
        </row>
        <row r="432">
          <cell r="M432" t="str">
            <v>男</v>
          </cell>
        </row>
        <row r="433">
          <cell r="F433" t="str">
            <v>221.182.0.217(四川-绵阳)</v>
          </cell>
        </row>
        <row r="433">
          <cell r="M433" t="str">
            <v>男</v>
          </cell>
        </row>
        <row r="434">
          <cell r="F434" t="str">
            <v>123.174.23.98(山西-运城)</v>
          </cell>
        </row>
        <row r="434">
          <cell r="M434" t="str">
            <v>男</v>
          </cell>
        </row>
        <row r="435">
          <cell r="F435" t="str">
            <v>123.174.82.2(山西-运城)</v>
          </cell>
        </row>
        <row r="435">
          <cell r="M435" t="str">
            <v>男</v>
          </cell>
        </row>
        <row r="436">
          <cell r="F436" t="str">
            <v>61.159.16.51(河北-保定)</v>
          </cell>
        </row>
        <row r="436">
          <cell r="M436" t="str">
            <v>女</v>
          </cell>
        </row>
        <row r="437">
          <cell r="F437" t="str">
            <v>39.144.67.108(广西-崇左)</v>
          </cell>
        </row>
        <row r="437">
          <cell r="M437" t="str">
            <v>男</v>
          </cell>
        </row>
        <row r="438">
          <cell r="F438" t="str">
            <v>120.208.10.242(山西-运城)</v>
          </cell>
        </row>
        <row r="438">
          <cell r="M438" t="str">
            <v>男</v>
          </cell>
        </row>
        <row r="439">
          <cell r="F439" t="str">
            <v>219.143.138.66(北京-北京)</v>
          </cell>
        </row>
        <row r="439">
          <cell r="M439" t="str">
            <v>男</v>
          </cell>
        </row>
        <row r="440">
          <cell r="F440" t="str">
            <v>39.187.194.60(浙江-金华)</v>
          </cell>
        </row>
        <row r="440">
          <cell r="M440" t="str">
            <v>男</v>
          </cell>
        </row>
        <row r="441">
          <cell r="F441" t="str">
            <v>220.200.126.179(广西-南宁)</v>
          </cell>
        </row>
        <row r="441">
          <cell r="M441" t="str">
            <v>女</v>
          </cell>
        </row>
        <row r="442">
          <cell r="F442" t="str">
            <v>123.174.82.2(山西-运城)</v>
          </cell>
        </row>
        <row r="442">
          <cell r="M442" t="str">
            <v>男</v>
          </cell>
        </row>
        <row r="443">
          <cell r="F443" t="str">
            <v>223.104.249.139(重庆-重庆)</v>
          </cell>
        </row>
        <row r="443">
          <cell r="M443" t="str">
            <v>男</v>
          </cell>
        </row>
        <row r="444">
          <cell r="F444" t="str">
            <v>223.75.127.193(湖北-恩施)</v>
          </cell>
        </row>
        <row r="444">
          <cell r="M444" t="str">
            <v>男</v>
          </cell>
        </row>
        <row r="445">
          <cell r="F445" t="str">
            <v>223.104.249.91(重庆-重庆)</v>
          </cell>
        </row>
        <row r="445">
          <cell r="M445" t="str">
            <v>男</v>
          </cell>
        </row>
        <row r="446">
          <cell r="F446" t="str">
            <v>116.130.210.6(天津-天津)</v>
          </cell>
        </row>
        <row r="446">
          <cell r="M446" t="str">
            <v>男</v>
          </cell>
        </row>
        <row r="447">
          <cell r="F447" t="str">
            <v>111.181.80.164(湖北-武汉)</v>
          </cell>
        </row>
        <row r="447">
          <cell r="M447" t="str">
            <v>女</v>
          </cell>
        </row>
        <row r="448">
          <cell r="F448" t="str">
            <v>113.14.185.38(广西-桂林)</v>
          </cell>
        </row>
        <row r="448">
          <cell r="M448" t="str">
            <v>男</v>
          </cell>
        </row>
        <row r="449">
          <cell r="F449" t="str">
            <v>223.104.88.186(广东-广州)</v>
          </cell>
        </row>
        <row r="449">
          <cell r="M449" t="str">
            <v>男</v>
          </cell>
        </row>
        <row r="450">
          <cell r="F450" t="str">
            <v>39.130.7.220(云南-红河)</v>
          </cell>
        </row>
        <row r="450">
          <cell r="M450" t="str">
            <v>男</v>
          </cell>
        </row>
        <row r="451">
          <cell r="F451" t="str">
            <v>223.104.249.15(重庆-重庆)</v>
          </cell>
        </row>
        <row r="451">
          <cell r="M451" t="str">
            <v>男</v>
          </cell>
        </row>
        <row r="452">
          <cell r="F452" t="str">
            <v>183.30.177.62(广东-惠州)</v>
          </cell>
        </row>
        <row r="452">
          <cell r="M452" t="str">
            <v>男</v>
          </cell>
        </row>
        <row r="453">
          <cell r="F453" t="str">
            <v>183.203.135.226(山西-大同)</v>
          </cell>
        </row>
        <row r="453">
          <cell r="M453" t="str">
            <v>男</v>
          </cell>
        </row>
        <row r="454">
          <cell r="F454" t="str">
            <v>175.7.224.102(湖南-张家界)</v>
          </cell>
        </row>
        <row r="454">
          <cell r="M454" t="str">
            <v>男</v>
          </cell>
        </row>
        <row r="455">
          <cell r="F455" t="str">
            <v>115.60.1.179(河南-郑州)</v>
          </cell>
        </row>
        <row r="455">
          <cell r="M455" t="str">
            <v>女</v>
          </cell>
        </row>
        <row r="456">
          <cell r="F456" t="str">
            <v>113.14.185.38(广西-桂林)</v>
          </cell>
        </row>
        <row r="456">
          <cell r="M456" t="str">
            <v>男</v>
          </cell>
        </row>
        <row r="457">
          <cell r="F457" t="str">
            <v>42.236.176.92(河南-郑州)</v>
          </cell>
        </row>
        <row r="457">
          <cell r="M457" t="str">
            <v>男</v>
          </cell>
        </row>
        <row r="458">
          <cell r="F458" t="str">
            <v>223.104.91.22(广西-南宁)</v>
          </cell>
        </row>
        <row r="458">
          <cell r="M458" t="str">
            <v>男</v>
          </cell>
        </row>
        <row r="459">
          <cell r="F459" t="str">
            <v>14.24.228.122(广东-广州)</v>
          </cell>
        </row>
        <row r="459">
          <cell r="M459" t="str">
            <v>男</v>
          </cell>
        </row>
        <row r="460">
          <cell r="F460" t="str">
            <v>112.111.223.216(福建-宁德)</v>
          </cell>
        </row>
        <row r="460">
          <cell r="M460" t="str">
            <v>男</v>
          </cell>
        </row>
        <row r="461">
          <cell r="F461" t="str">
            <v>113.204.65.74(重庆-重庆)</v>
          </cell>
        </row>
        <row r="461">
          <cell r="M461" t="str">
            <v>男</v>
          </cell>
        </row>
        <row r="462">
          <cell r="F462" t="str">
            <v>223.104.88.186(广东-广州)</v>
          </cell>
        </row>
        <row r="462">
          <cell r="M462" t="str">
            <v>男</v>
          </cell>
        </row>
        <row r="463">
          <cell r="F463" t="str">
            <v>115.60.86.186(河南-郑州)</v>
          </cell>
        </row>
        <row r="463">
          <cell r="M463" t="str">
            <v>男</v>
          </cell>
        </row>
        <row r="464">
          <cell r="F464" t="str">
            <v>171.111.182.109(广西-南宁)</v>
          </cell>
        </row>
        <row r="464">
          <cell r="M464" t="str">
            <v>男</v>
          </cell>
        </row>
        <row r="465">
          <cell r="F465" t="str">
            <v>223.104.7.38(天津-天津)</v>
          </cell>
        </row>
        <row r="465">
          <cell r="M465" t="str">
            <v>男</v>
          </cell>
        </row>
        <row r="466">
          <cell r="F466" t="str">
            <v>111.19.54.85(陕西-咸阳)</v>
          </cell>
        </row>
        <row r="466">
          <cell r="M466" t="str">
            <v>女</v>
          </cell>
        </row>
        <row r="467">
          <cell r="F467" t="str">
            <v>139.159.170.67(广东-广州)</v>
          </cell>
        </row>
        <row r="467">
          <cell r="M467" t="str">
            <v>男</v>
          </cell>
        </row>
        <row r="468">
          <cell r="F468" t="str">
            <v>117.136.113.241(浙江-金华)</v>
          </cell>
        </row>
        <row r="468">
          <cell r="M468" t="str">
            <v>男</v>
          </cell>
        </row>
        <row r="469">
          <cell r="F469" t="str">
            <v>221.11.34.52(陕西-延安)</v>
          </cell>
        </row>
        <row r="469">
          <cell r="M469" t="str">
            <v>男</v>
          </cell>
        </row>
        <row r="470">
          <cell r="F470" t="str">
            <v>42.234.6.200(河南-焦作)</v>
          </cell>
        </row>
        <row r="470">
          <cell r="M470" t="str">
            <v>男</v>
          </cell>
        </row>
        <row r="471">
          <cell r="F471" t="str">
            <v>116.130.210.152(天津-天津)</v>
          </cell>
        </row>
        <row r="471">
          <cell r="M471" t="str">
            <v>男</v>
          </cell>
        </row>
        <row r="472">
          <cell r="F472" t="str">
            <v>171.223.185.9(四川-成都)</v>
          </cell>
        </row>
        <row r="472">
          <cell r="M472" t="str">
            <v>女</v>
          </cell>
        </row>
        <row r="473">
          <cell r="F473" t="str">
            <v>113.118.134.69(广东-深圳)</v>
          </cell>
        </row>
        <row r="473">
          <cell r="M473" t="str">
            <v>男</v>
          </cell>
        </row>
        <row r="474">
          <cell r="F474" t="str">
            <v>111.30.214.24(天津-天津)</v>
          </cell>
        </row>
        <row r="474">
          <cell r="M474" t="str">
            <v>男</v>
          </cell>
        </row>
        <row r="475">
          <cell r="F475" t="str">
            <v>113.128.93.46(山东-济南)</v>
          </cell>
        </row>
        <row r="475">
          <cell r="M475" t="str">
            <v>男</v>
          </cell>
        </row>
        <row r="476">
          <cell r="F476" t="str">
            <v>1.207.246.189(贵州-铜仁)</v>
          </cell>
        </row>
        <row r="476">
          <cell r="M476" t="str">
            <v>男</v>
          </cell>
        </row>
        <row r="477">
          <cell r="F477" t="str">
            <v>183.151.165.176(浙江-丽水)</v>
          </cell>
        </row>
        <row r="477">
          <cell r="M477" t="str">
            <v>女</v>
          </cell>
        </row>
        <row r="478">
          <cell r="F478" t="str">
            <v>39.144.82.61(天津-天津)</v>
          </cell>
        </row>
        <row r="478">
          <cell r="M478" t="str">
            <v>男</v>
          </cell>
        </row>
        <row r="479">
          <cell r="F479" t="str">
            <v>113.118.134.69(广东-深圳)</v>
          </cell>
        </row>
        <row r="479">
          <cell r="M479" t="str">
            <v>男</v>
          </cell>
        </row>
        <row r="480">
          <cell r="F480" t="str">
            <v>183.66.206.176(重庆-重庆)</v>
          </cell>
        </row>
        <row r="480">
          <cell r="M480" t="str">
            <v>男</v>
          </cell>
        </row>
        <row r="481">
          <cell r="F481" t="str">
            <v>111.55.36.64(云南-曲靖)</v>
          </cell>
        </row>
        <row r="481">
          <cell r="M481" t="str">
            <v>男</v>
          </cell>
        </row>
        <row r="482">
          <cell r="F482" t="str">
            <v>111.30.219.151(天津-天津)</v>
          </cell>
        </row>
        <row r="482">
          <cell r="M482" t="str">
            <v>女</v>
          </cell>
        </row>
        <row r="483">
          <cell r="F483" t="str">
            <v>27.37.144.74(广东-东莞)</v>
          </cell>
        </row>
        <row r="483">
          <cell r="M483" t="str">
            <v>男</v>
          </cell>
        </row>
        <row r="484">
          <cell r="F484" t="str">
            <v>112.224.11.40(山东-济南)</v>
          </cell>
        </row>
        <row r="484">
          <cell r="M484" t="str">
            <v>男</v>
          </cell>
        </row>
        <row r="485">
          <cell r="F485" t="str">
            <v>119.132.145.244(广东-惠州)</v>
          </cell>
        </row>
        <row r="485">
          <cell r="M485" t="str">
            <v>男</v>
          </cell>
        </row>
        <row r="486">
          <cell r="F486" t="str">
            <v>61.159.1.88(河北-保定)</v>
          </cell>
        </row>
        <row r="486">
          <cell r="M486" t="str">
            <v>男</v>
          </cell>
        </row>
        <row r="487">
          <cell r="F487" t="str">
            <v>121.32.254.146(广东-深圳)</v>
          </cell>
        </row>
        <row r="487">
          <cell r="M487" t="str">
            <v>男</v>
          </cell>
        </row>
        <row r="488">
          <cell r="F488" t="str">
            <v>39.144.83.13(天津-天津)</v>
          </cell>
        </row>
        <row r="488">
          <cell r="M488" t="str">
            <v>男</v>
          </cell>
        </row>
        <row r="489">
          <cell r="F489" t="str">
            <v>223.13.146.111(山西-运城)</v>
          </cell>
        </row>
        <row r="489">
          <cell r="M489" t="str">
            <v>男</v>
          </cell>
        </row>
        <row r="490">
          <cell r="F490" t="str">
            <v>111.53.16.102(山西-朔州)</v>
          </cell>
        </row>
        <row r="490">
          <cell r="M490" t="str">
            <v>男</v>
          </cell>
        </row>
        <row r="491">
          <cell r="F491" t="str">
            <v>118.73.227.18(山西-临汾)</v>
          </cell>
        </row>
        <row r="491">
          <cell r="M491" t="str">
            <v>女</v>
          </cell>
        </row>
        <row r="492">
          <cell r="F492" t="str">
            <v>123.13.206.123(河南-许昌)</v>
          </cell>
        </row>
        <row r="492">
          <cell r="M492" t="str">
            <v>男</v>
          </cell>
        </row>
        <row r="493">
          <cell r="F493" t="str">
            <v>113.204.168.138(重庆-重庆)</v>
          </cell>
        </row>
        <row r="493">
          <cell r="M493" t="str">
            <v>男</v>
          </cell>
        </row>
        <row r="494">
          <cell r="F494" t="str">
            <v>106.224.175.51(江西-南昌)</v>
          </cell>
        </row>
        <row r="494">
          <cell r="M494" t="str">
            <v>男</v>
          </cell>
        </row>
        <row r="495">
          <cell r="F495" t="str">
            <v>112.96.80.162(广东-佛山)</v>
          </cell>
        </row>
        <row r="495">
          <cell r="M495" t="str">
            <v>男</v>
          </cell>
        </row>
        <row r="496">
          <cell r="F496" t="str">
            <v>223.104.249.116(重庆-重庆)</v>
          </cell>
        </row>
        <row r="496">
          <cell r="M496" t="str">
            <v>女</v>
          </cell>
        </row>
        <row r="497">
          <cell r="F497" t="str">
            <v>223.104.7.0(天津-天津)</v>
          </cell>
        </row>
        <row r="497">
          <cell r="M497" t="str">
            <v>男</v>
          </cell>
        </row>
        <row r="498">
          <cell r="F498" t="str">
            <v>111.55.97.8(湖南-郴州)</v>
          </cell>
        </row>
        <row r="498">
          <cell r="M498" t="str">
            <v>男</v>
          </cell>
        </row>
        <row r="499">
          <cell r="F499" t="str">
            <v>223.104.33.201(安徽-合肥)</v>
          </cell>
        </row>
        <row r="499">
          <cell r="M499" t="str">
            <v>男</v>
          </cell>
        </row>
        <row r="500">
          <cell r="F500" t="str">
            <v>125.73.100.234(广西-柳州)</v>
          </cell>
        </row>
        <row r="500">
          <cell r="M500" t="str">
            <v>女</v>
          </cell>
        </row>
        <row r="501">
          <cell r="F501" t="str">
            <v>113.204.168.138(重庆-重庆)</v>
          </cell>
        </row>
        <row r="501">
          <cell r="M501" t="str">
            <v>男</v>
          </cell>
        </row>
        <row r="502">
          <cell r="F502" t="str">
            <v>112.36.240.52(山东-济南)</v>
          </cell>
        </row>
        <row r="502">
          <cell r="M502" t="str">
            <v>男</v>
          </cell>
        </row>
        <row r="503">
          <cell r="F503" t="str">
            <v>113.200.170.33(陕西-榆林)</v>
          </cell>
        </row>
        <row r="503">
          <cell r="M503" t="str">
            <v>男</v>
          </cell>
        </row>
        <row r="504">
          <cell r="F504" t="str">
            <v>110.52.114.5(湖南-湘潭)</v>
          </cell>
        </row>
        <row r="504">
          <cell r="M504" t="str">
            <v>男</v>
          </cell>
        </row>
        <row r="505">
          <cell r="F505" t="str">
            <v>183.228.60.6(重庆-重庆)</v>
          </cell>
        </row>
        <row r="505">
          <cell r="M505" t="str">
            <v>男</v>
          </cell>
        </row>
        <row r="506">
          <cell r="F506" t="str">
            <v>183.63.47.48(广东-茂名)</v>
          </cell>
        </row>
        <row r="506">
          <cell r="M506" t="str">
            <v>男</v>
          </cell>
        </row>
        <row r="507">
          <cell r="F507" t="str">
            <v>223.160.237.120(海南-海口)</v>
          </cell>
        </row>
        <row r="507">
          <cell r="M507" t="str">
            <v>男</v>
          </cell>
        </row>
        <row r="508">
          <cell r="F508" t="str">
            <v>223.104.80.189(广东-广州)</v>
          </cell>
        </row>
        <row r="508">
          <cell r="M508" t="str">
            <v>男</v>
          </cell>
        </row>
        <row r="509">
          <cell r="F509" t="str">
            <v>123.145.82.209(重庆-重庆)</v>
          </cell>
        </row>
        <row r="509">
          <cell r="M509" t="str">
            <v>男</v>
          </cell>
        </row>
        <row r="510">
          <cell r="F510" t="str">
            <v>218.201.9.162(重庆-重庆)</v>
          </cell>
        </row>
        <row r="510">
          <cell r="M510" t="str">
            <v>男</v>
          </cell>
        </row>
        <row r="511">
          <cell r="F511" t="str">
            <v>106.228.23.162(江西-南昌)</v>
          </cell>
        </row>
        <row r="511">
          <cell r="M511" t="str">
            <v>男</v>
          </cell>
        </row>
        <row r="512">
          <cell r="F512" t="str">
            <v>119.98.138.219(湖北-武汉)</v>
          </cell>
        </row>
        <row r="512">
          <cell r="M512" t="str">
            <v>男</v>
          </cell>
        </row>
        <row r="513">
          <cell r="F513" t="str">
            <v>125.85.111.237(重庆-重庆)</v>
          </cell>
        </row>
        <row r="513">
          <cell r="M513" t="str">
            <v>女</v>
          </cell>
        </row>
        <row r="514">
          <cell r="F514" t="str">
            <v>113.111.80.228(广东-广州)</v>
          </cell>
        </row>
        <row r="514">
          <cell r="M514" t="str">
            <v>男</v>
          </cell>
        </row>
        <row r="515">
          <cell r="F515" t="str">
            <v>49.93.49.91(江苏-南京)</v>
          </cell>
        </row>
        <row r="515">
          <cell r="M515" t="str">
            <v>男</v>
          </cell>
        </row>
        <row r="516">
          <cell r="F516" t="str">
            <v>110.19.108.198(内蒙古-鄂尔多斯)</v>
          </cell>
        </row>
        <row r="516">
          <cell r="M516" t="str">
            <v>男</v>
          </cell>
        </row>
        <row r="517">
          <cell r="F517" t="str">
            <v>125.72.35.250(青海-西宁)</v>
          </cell>
        </row>
        <row r="517">
          <cell r="M517" t="str">
            <v>男</v>
          </cell>
        </row>
        <row r="518">
          <cell r="F518" t="str">
            <v>219.79.13.246(香港-未知)</v>
          </cell>
        </row>
        <row r="518">
          <cell r="M518" t="str">
            <v>男</v>
          </cell>
        </row>
        <row r="519">
          <cell r="F519" t="str">
            <v>117.141.213.13(广西-柳州)</v>
          </cell>
        </row>
        <row r="519">
          <cell r="M519" t="str">
            <v>女</v>
          </cell>
        </row>
        <row r="520">
          <cell r="F520" t="str">
            <v>59.56.212.2(福建-泉州)</v>
          </cell>
        </row>
        <row r="520">
          <cell r="M520" t="str">
            <v>男</v>
          </cell>
        </row>
        <row r="521">
          <cell r="F521" t="str">
            <v>39.144.190.90(湖南-长沙)</v>
          </cell>
        </row>
        <row r="521">
          <cell r="M521" t="str">
            <v>男</v>
          </cell>
        </row>
        <row r="522">
          <cell r="F522" t="str">
            <v>27.15.48.221(重庆-重庆)</v>
          </cell>
        </row>
        <row r="522">
          <cell r="M522" t="str">
            <v>男</v>
          </cell>
        </row>
        <row r="523">
          <cell r="F523" t="str">
            <v>125.43.77.208(河南-洛阳)</v>
          </cell>
        </row>
        <row r="523">
          <cell r="M523" t="str">
            <v>男</v>
          </cell>
        </row>
        <row r="524">
          <cell r="F524" t="str">
            <v>1.81.230.9(陕西-汉中)</v>
          </cell>
        </row>
        <row r="524">
          <cell r="M524" t="str">
            <v>女</v>
          </cell>
        </row>
        <row r="525">
          <cell r="F525" t="str">
            <v>222.182.62.226(重庆-重庆)</v>
          </cell>
        </row>
        <row r="525">
          <cell r="M525" t="str">
            <v>男</v>
          </cell>
        </row>
        <row r="526">
          <cell r="F526" t="str">
            <v>223.104.132.97(湖南-长沙)</v>
          </cell>
        </row>
        <row r="526">
          <cell r="M526" t="str">
            <v>男</v>
          </cell>
        </row>
        <row r="527">
          <cell r="F527" t="str">
            <v>182.135.210.47(四川-资阳)</v>
          </cell>
        </row>
        <row r="527">
          <cell r="M527" t="str">
            <v>男</v>
          </cell>
        </row>
        <row r="528">
          <cell r="F528" t="str">
            <v>111.50.161.74(宁夏-固原)</v>
          </cell>
        </row>
        <row r="528">
          <cell r="M528" t="str">
            <v>男</v>
          </cell>
        </row>
        <row r="529">
          <cell r="F529" t="str">
            <v>60.208.203.182(山东-济南)</v>
          </cell>
        </row>
        <row r="529">
          <cell r="M529" t="str">
            <v>男</v>
          </cell>
        </row>
        <row r="530">
          <cell r="F530" t="str">
            <v>120.208.53.63(山西-运城)</v>
          </cell>
        </row>
        <row r="530">
          <cell r="M530" t="str">
            <v>男</v>
          </cell>
        </row>
        <row r="531">
          <cell r="F531" t="str">
            <v>117.136.0.83(北京-北京)</v>
          </cell>
        </row>
        <row r="531">
          <cell r="M531" t="str">
            <v>男</v>
          </cell>
        </row>
        <row r="532">
          <cell r="F532" t="str">
            <v>59.175.191.34(湖北-武汉)</v>
          </cell>
        </row>
        <row r="532">
          <cell r="M532" t="str">
            <v>男</v>
          </cell>
        </row>
        <row r="533">
          <cell r="F533" t="str">
            <v>183.230.169.6(重庆-重庆)</v>
          </cell>
        </row>
        <row r="533">
          <cell r="M533" t="str">
            <v>男</v>
          </cell>
        </row>
        <row r="534">
          <cell r="F534" t="str">
            <v>183.230.169.6(重庆-重庆)</v>
          </cell>
        </row>
        <row r="534">
          <cell r="M534" t="str">
            <v>男</v>
          </cell>
        </row>
        <row r="535">
          <cell r="F535" t="str">
            <v>183.46.32.240(广东-汕头)</v>
          </cell>
        </row>
        <row r="535">
          <cell r="M535" t="str">
            <v>男</v>
          </cell>
        </row>
        <row r="536">
          <cell r="F536" t="str">
            <v>221.124.25.55(香港-未知)</v>
          </cell>
        </row>
        <row r="536">
          <cell r="M536" t="str">
            <v>女</v>
          </cell>
        </row>
        <row r="537">
          <cell r="F537" t="str">
            <v>112.64.135.45(上海-上海)</v>
          </cell>
        </row>
        <row r="537">
          <cell r="M537" t="str">
            <v>男</v>
          </cell>
        </row>
        <row r="538">
          <cell r="F538" t="str">
            <v>113.247.17.29(湖南-长沙)</v>
          </cell>
        </row>
        <row r="538">
          <cell r="M538" t="str">
            <v>男</v>
          </cell>
        </row>
        <row r="539">
          <cell r="F539" t="str">
            <v>43.242.160.182(广东-汕头)</v>
          </cell>
        </row>
        <row r="539">
          <cell r="M539" t="str">
            <v>女</v>
          </cell>
        </row>
        <row r="540">
          <cell r="F540" t="str">
            <v>183.11.69.168(广东-深圳)</v>
          </cell>
        </row>
        <row r="540">
          <cell r="M540" t="str">
            <v>男</v>
          </cell>
        </row>
        <row r="541">
          <cell r="F541" t="str">
            <v>36.59.170.29(安徽-六安)</v>
          </cell>
        </row>
        <row r="541">
          <cell r="M541" t="str">
            <v>男</v>
          </cell>
        </row>
        <row r="542">
          <cell r="F542" t="str">
            <v>171.83.113.192(湖北-武汉)</v>
          </cell>
        </row>
        <row r="542">
          <cell r="M542" t="str">
            <v>男</v>
          </cell>
        </row>
        <row r="543">
          <cell r="F543" t="str">
            <v>183.11.69.168(广东-深圳)</v>
          </cell>
        </row>
        <row r="543">
          <cell r="M543" t="str">
            <v>男</v>
          </cell>
        </row>
        <row r="544">
          <cell r="F544" t="str">
            <v>117.188.51.9(贵州-遵义)</v>
          </cell>
        </row>
        <row r="544">
          <cell r="M544" t="str">
            <v>男</v>
          </cell>
        </row>
        <row r="545">
          <cell r="F545" t="str">
            <v>112.97.84.114(广东-东莞)</v>
          </cell>
        </row>
        <row r="545">
          <cell r="M545" t="str">
            <v>男</v>
          </cell>
        </row>
        <row r="546">
          <cell r="F546" t="str">
            <v>106.224.48.106(江西-南昌)</v>
          </cell>
        </row>
        <row r="546">
          <cell r="M546" t="str">
            <v>男</v>
          </cell>
        </row>
        <row r="547">
          <cell r="F547" t="str">
            <v>113.84.137.204(广东-深圳)</v>
          </cell>
        </row>
        <row r="547">
          <cell r="M547" t="str">
            <v>男</v>
          </cell>
        </row>
        <row r="548">
          <cell r="F548" t="str">
            <v>112.97.170.130(广东-东莞)</v>
          </cell>
        </row>
        <row r="548">
          <cell r="M548" t="str">
            <v>男</v>
          </cell>
        </row>
        <row r="549">
          <cell r="F549" t="str">
            <v>218.12.21.51(河北-石家庄)</v>
          </cell>
        </row>
        <row r="549">
          <cell r="M549" t="str">
            <v>男</v>
          </cell>
        </row>
        <row r="550">
          <cell r="F550" t="str">
            <v>119.143.89.17(广东-广州)</v>
          </cell>
        </row>
        <row r="550">
          <cell r="M550" t="str">
            <v>男</v>
          </cell>
        </row>
        <row r="551">
          <cell r="F551" t="str">
            <v>112.32.29.152(安徽-合肥)</v>
          </cell>
        </row>
        <row r="551">
          <cell r="M551" t="str">
            <v>男</v>
          </cell>
        </row>
        <row r="552">
          <cell r="F552" t="str">
            <v>43.242.155.203(新疆-乌鲁木齐)</v>
          </cell>
        </row>
        <row r="552">
          <cell r="M552" t="str">
            <v>男</v>
          </cell>
        </row>
        <row r="553">
          <cell r="F553" t="str">
            <v>42.234.80.12(河南-南阳)</v>
          </cell>
        </row>
        <row r="553">
          <cell r="M553" t="str">
            <v>男</v>
          </cell>
        </row>
        <row r="554">
          <cell r="F554" t="str">
            <v>112.224.195.63(山东-青岛)</v>
          </cell>
        </row>
        <row r="554">
          <cell r="M554" t="str">
            <v>男</v>
          </cell>
        </row>
        <row r="555">
          <cell r="F555" t="str">
            <v>111.18.207.105(陕西-宝鸡)</v>
          </cell>
        </row>
        <row r="555">
          <cell r="M555" t="str">
            <v>男</v>
          </cell>
        </row>
        <row r="556">
          <cell r="F556" t="str">
            <v>163.125.166.176(广东-深圳)</v>
          </cell>
        </row>
        <row r="556">
          <cell r="M556" t="str">
            <v>男</v>
          </cell>
        </row>
        <row r="557">
          <cell r="F557" t="str">
            <v>1.206.149.190(贵州-黔南)</v>
          </cell>
        </row>
        <row r="557">
          <cell r="M557" t="str">
            <v>男</v>
          </cell>
        </row>
        <row r="558">
          <cell r="F558" t="str">
            <v>117.188.39.109(贵州-遵义)</v>
          </cell>
        </row>
        <row r="558">
          <cell r="M558" t="str">
            <v>男</v>
          </cell>
        </row>
        <row r="559">
          <cell r="F559" t="str">
            <v>115.57.136.228(河南-郑州)</v>
          </cell>
        </row>
        <row r="559">
          <cell r="M559" t="str">
            <v>女</v>
          </cell>
        </row>
        <row r="560">
          <cell r="F560" t="str">
            <v>39.144.157.99(江苏-无锡)</v>
          </cell>
        </row>
        <row r="560">
          <cell r="M560" t="str">
            <v>男</v>
          </cell>
        </row>
        <row r="561">
          <cell r="F561" t="str">
            <v>182.118.239.118(河南-郑州)</v>
          </cell>
        </row>
        <row r="561">
          <cell r="M561" t="str">
            <v>男</v>
          </cell>
        </row>
        <row r="562">
          <cell r="F562" t="str">
            <v>120.228.180.248(湖南-怀化)</v>
          </cell>
        </row>
        <row r="562">
          <cell r="M562" t="str">
            <v>男</v>
          </cell>
        </row>
        <row r="563">
          <cell r="F563" t="str">
            <v>219.145.30.183(陕西-西安)</v>
          </cell>
        </row>
        <row r="563">
          <cell r="M563" t="str">
            <v>男</v>
          </cell>
        </row>
        <row r="564">
          <cell r="F564" t="str">
            <v>120.229.249.127(广东-汕头)</v>
          </cell>
        </row>
        <row r="564">
          <cell r="M564" t="str">
            <v>女</v>
          </cell>
        </row>
        <row r="565">
          <cell r="F565" t="str">
            <v>106.119.157.93(河北-秦皇岛)</v>
          </cell>
        </row>
        <row r="565">
          <cell r="M565" t="str">
            <v>女</v>
          </cell>
        </row>
        <row r="566">
          <cell r="F566" t="str">
            <v>124.226.44.131(广西-柳州)</v>
          </cell>
        </row>
        <row r="566">
          <cell r="M566" t="str">
            <v>女</v>
          </cell>
        </row>
        <row r="567">
          <cell r="F567" t="str">
            <v>111.60.84.97(湖北-武汉)</v>
          </cell>
        </row>
        <row r="567">
          <cell r="M567" t="str">
            <v>男</v>
          </cell>
        </row>
        <row r="568">
          <cell r="F568" t="str">
            <v>222.217.50.152(广西-柳州)</v>
          </cell>
        </row>
        <row r="568">
          <cell r="M568" t="str">
            <v>男</v>
          </cell>
        </row>
        <row r="569">
          <cell r="F569" t="str">
            <v>119.48.164.62(吉林-长春)</v>
          </cell>
        </row>
        <row r="569">
          <cell r="M569" t="str">
            <v>男</v>
          </cell>
        </row>
        <row r="570">
          <cell r="F570" t="str">
            <v>39.91.101.182(山东-济南)</v>
          </cell>
        </row>
        <row r="570">
          <cell r="M570" t="str">
            <v>男</v>
          </cell>
        </row>
        <row r="571">
          <cell r="F571" t="str">
            <v>27.204.84.208(山东-济南)</v>
          </cell>
        </row>
        <row r="571">
          <cell r="M571" t="str">
            <v>男</v>
          </cell>
        </row>
        <row r="572">
          <cell r="F572" t="str">
            <v>27.12.194.43(重庆-重庆)</v>
          </cell>
        </row>
        <row r="572">
          <cell r="M572" t="str">
            <v>男</v>
          </cell>
        </row>
        <row r="573">
          <cell r="F573" t="str">
            <v>182.46.157.167(山东-聊城)</v>
          </cell>
        </row>
        <row r="573">
          <cell r="M573" t="str">
            <v>男</v>
          </cell>
        </row>
        <row r="574">
          <cell r="F574" t="str">
            <v>223.101.128.6(辽宁-锦州)</v>
          </cell>
        </row>
        <row r="574">
          <cell r="M574" t="str">
            <v>男</v>
          </cell>
        </row>
        <row r="575">
          <cell r="F575" t="str">
            <v>223.87.83.21(四川-南充)</v>
          </cell>
        </row>
        <row r="575">
          <cell r="M575" t="str">
            <v>男</v>
          </cell>
        </row>
        <row r="576">
          <cell r="F576" t="str">
            <v>114.97.175.73(安徽-合肥)</v>
          </cell>
        </row>
        <row r="576">
          <cell r="M576" t="str">
            <v>男</v>
          </cell>
        </row>
        <row r="577">
          <cell r="F577" t="str">
            <v>123.147.244.189(重庆-重庆)</v>
          </cell>
        </row>
        <row r="577">
          <cell r="M577" t="str">
            <v>男</v>
          </cell>
        </row>
        <row r="578">
          <cell r="F578" t="str">
            <v>27.212.9.46(山东-淄博)</v>
          </cell>
        </row>
        <row r="578">
          <cell r="M578" t="str">
            <v>女</v>
          </cell>
        </row>
        <row r="579">
          <cell r="F579" t="str">
            <v>112.123.12.88(安徽-合肥)</v>
          </cell>
        </row>
        <row r="579">
          <cell r="M579" t="str">
            <v>男</v>
          </cell>
        </row>
        <row r="580">
          <cell r="F580" t="str">
            <v>112.123.12.88(安徽-合肥)</v>
          </cell>
        </row>
        <row r="580">
          <cell r="M580" t="str">
            <v>男</v>
          </cell>
        </row>
        <row r="581">
          <cell r="F581" t="str">
            <v>120.217.54.27(河南-郑州)</v>
          </cell>
        </row>
        <row r="581">
          <cell r="M581" t="str">
            <v>男</v>
          </cell>
        </row>
        <row r="582">
          <cell r="F582" t="str">
            <v>119.7.48.190(四川-绵阳)</v>
          </cell>
        </row>
        <row r="582">
          <cell r="M582" t="str">
            <v>男</v>
          </cell>
        </row>
        <row r="583">
          <cell r="F583" t="str">
            <v>171.219.36.66(四川-成都)</v>
          </cell>
        </row>
        <row r="583">
          <cell r="M583" t="str">
            <v>女</v>
          </cell>
        </row>
        <row r="584">
          <cell r="F584" t="str">
            <v>117.172.42.183(四川-成都)</v>
          </cell>
        </row>
        <row r="584">
          <cell r="M584" t="str">
            <v>男</v>
          </cell>
        </row>
        <row r="585">
          <cell r="F585" t="str">
            <v>116.20.236.29(广东-佛山)</v>
          </cell>
        </row>
        <row r="585">
          <cell r="M585" t="str">
            <v>男</v>
          </cell>
        </row>
        <row r="586">
          <cell r="F586" t="str">
            <v>117.37.100.104(陕西-咸阳)</v>
          </cell>
        </row>
        <row r="586">
          <cell r="M586" t="str">
            <v>男</v>
          </cell>
        </row>
        <row r="587">
          <cell r="F587" t="str">
            <v>222.208.31.28(四川-南充)</v>
          </cell>
        </row>
        <row r="587">
          <cell r="M587" t="str">
            <v>男</v>
          </cell>
        </row>
        <row r="588">
          <cell r="F588" t="str">
            <v>111.85.235.63(贵州-黔东南)</v>
          </cell>
        </row>
        <row r="588">
          <cell r="M588" t="str">
            <v>男</v>
          </cell>
        </row>
        <row r="589">
          <cell r="F589" t="str">
            <v>171.12.26.111(河南-郑州)</v>
          </cell>
        </row>
        <row r="589">
          <cell r="M589" t="str">
            <v>男</v>
          </cell>
        </row>
        <row r="590">
          <cell r="F590" t="str">
            <v>117.171.190.8(江西-九江)</v>
          </cell>
        </row>
        <row r="590">
          <cell r="M590" t="str">
            <v>男</v>
          </cell>
        </row>
        <row r="591">
          <cell r="F591" t="str">
            <v>39.144.109.183(山东-聊城)</v>
          </cell>
        </row>
        <row r="591">
          <cell r="M591" t="str">
            <v>男</v>
          </cell>
        </row>
        <row r="592">
          <cell r="F592" t="str">
            <v>39.144.109.183(山东-聊城)</v>
          </cell>
        </row>
        <row r="592">
          <cell r="M592" t="str">
            <v>男</v>
          </cell>
        </row>
        <row r="593">
          <cell r="F593" t="str">
            <v>39.144.109.24(山东-聊城)</v>
          </cell>
        </row>
        <row r="593">
          <cell r="M593" t="str">
            <v>男</v>
          </cell>
        </row>
        <row r="594">
          <cell r="F594" t="str">
            <v>183.46.8.30(广东-汕头)</v>
          </cell>
        </row>
        <row r="594">
          <cell r="M594" t="str">
            <v>男</v>
          </cell>
        </row>
        <row r="595">
          <cell r="F595" t="str">
            <v>120.208.36.174(山西-运城)</v>
          </cell>
        </row>
        <row r="595">
          <cell r="M595" t="str">
            <v>男</v>
          </cell>
        </row>
        <row r="596">
          <cell r="F596" t="str">
            <v>223.104.116.138(黑龙江-哈尔滨)</v>
          </cell>
        </row>
        <row r="596">
          <cell r="M596" t="str">
            <v>男</v>
          </cell>
        </row>
        <row r="597">
          <cell r="F597" t="str">
            <v>116.171.15.198(贵州-遵义)</v>
          </cell>
        </row>
        <row r="597">
          <cell r="M597" t="str">
            <v>男</v>
          </cell>
        </row>
        <row r="598">
          <cell r="F598" t="str">
            <v>123.168.188.184(山东-济宁)</v>
          </cell>
        </row>
        <row r="598">
          <cell r="M598" t="str">
            <v>男</v>
          </cell>
        </row>
        <row r="599">
          <cell r="F599" t="str">
            <v>112.224.229.96(山东-济南)</v>
          </cell>
        </row>
        <row r="599">
          <cell r="M599" t="str">
            <v>女</v>
          </cell>
        </row>
        <row r="600">
          <cell r="F600" t="str">
            <v>113.77.82.127(广东-东莞)</v>
          </cell>
        </row>
        <row r="600">
          <cell r="M600" t="str">
            <v>男</v>
          </cell>
        </row>
        <row r="601">
          <cell r="F601" t="str">
            <v>183.221.17.210(四川-成都)</v>
          </cell>
        </row>
        <row r="601">
          <cell r="M601" t="str">
            <v>男</v>
          </cell>
        </row>
        <row r="602">
          <cell r="F602" t="str">
            <v>112.102.172.147(黑龙江-哈尔滨)</v>
          </cell>
        </row>
        <row r="602">
          <cell r="M602" t="str">
            <v>女</v>
          </cell>
        </row>
        <row r="603">
          <cell r="F603" t="str">
            <v>113.99.161.161(广东-东莞)</v>
          </cell>
        </row>
        <row r="603">
          <cell r="M603" t="str">
            <v>女</v>
          </cell>
        </row>
        <row r="604">
          <cell r="F604" t="str">
            <v>219.144.196.82(陕西-西安)</v>
          </cell>
        </row>
        <row r="604">
          <cell r="M604" t="str">
            <v>男</v>
          </cell>
        </row>
        <row r="605">
          <cell r="F605" t="str">
            <v>183.197.176.14(河北-唐山)</v>
          </cell>
        </row>
        <row r="605">
          <cell r="M605" t="str">
            <v>男</v>
          </cell>
        </row>
        <row r="606">
          <cell r="F606" t="str">
            <v>171.104.237.179(广西-柳州)</v>
          </cell>
        </row>
        <row r="606">
          <cell r="M606" t="str">
            <v>男</v>
          </cell>
        </row>
        <row r="607">
          <cell r="F607" t="str">
            <v>116.78.81.188(天津-天津)</v>
          </cell>
        </row>
        <row r="607">
          <cell r="M607" t="str">
            <v>男</v>
          </cell>
        </row>
        <row r="608">
          <cell r="F608" t="str">
            <v>183.23.156.28(广东-东莞)</v>
          </cell>
        </row>
        <row r="608">
          <cell r="M608" t="str">
            <v>男</v>
          </cell>
        </row>
        <row r="609">
          <cell r="F609" t="str">
            <v>180.139.40.215(广西-南宁)</v>
          </cell>
        </row>
        <row r="609">
          <cell r="M609" t="str">
            <v>女</v>
          </cell>
        </row>
        <row r="610">
          <cell r="F610" t="str">
            <v>223.104.88.173(广东-广州)</v>
          </cell>
        </row>
        <row r="610">
          <cell r="M610" t="str">
            <v>女</v>
          </cell>
        </row>
        <row r="611">
          <cell r="F611" t="str">
            <v>39.144.180.238(河南-平顶山)</v>
          </cell>
        </row>
        <row r="611">
          <cell r="M611" t="str">
            <v>男</v>
          </cell>
        </row>
        <row r="612">
          <cell r="F612" t="str">
            <v>27.38.248.75(广东-深圳)</v>
          </cell>
        </row>
        <row r="612">
          <cell r="M612" t="str">
            <v>男</v>
          </cell>
        </row>
        <row r="613">
          <cell r="F613" t="str">
            <v>42.97.230.51(吉林-长春)</v>
          </cell>
        </row>
        <row r="613">
          <cell r="M613" t="str">
            <v>男</v>
          </cell>
        </row>
        <row r="614">
          <cell r="F614" t="str">
            <v>116.2.216.134(辽宁-沈阳)</v>
          </cell>
        </row>
        <row r="614">
          <cell r="M614" t="str">
            <v>男</v>
          </cell>
        </row>
        <row r="615">
          <cell r="F615" t="str">
            <v>120.196.81.61(广东-广州)</v>
          </cell>
        </row>
        <row r="615">
          <cell r="M615" t="str">
            <v>女</v>
          </cell>
        </row>
        <row r="616">
          <cell r="F616" t="str">
            <v>39.144.24.144(河南-南阳)</v>
          </cell>
        </row>
        <row r="616">
          <cell r="M616" t="str">
            <v>女</v>
          </cell>
        </row>
        <row r="617">
          <cell r="F617" t="str">
            <v>106.33.225.105(河南-郑州)</v>
          </cell>
        </row>
        <row r="617">
          <cell r="M617" t="str">
            <v>女</v>
          </cell>
        </row>
        <row r="618">
          <cell r="F618" t="str">
            <v>106.33.225.105(河南-郑州)</v>
          </cell>
        </row>
        <row r="618">
          <cell r="M618" t="str">
            <v>女</v>
          </cell>
        </row>
        <row r="619">
          <cell r="F619" t="str">
            <v>113.88.199.57(广东-深圳)</v>
          </cell>
        </row>
        <row r="619">
          <cell r="M619" t="str">
            <v>男</v>
          </cell>
        </row>
        <row r="620">
          <cell r="F620" t="str">
            <v>112.96.35.110(广东-广州)</v>
          </cell>
        </row>
        <row r="620">
          <cell r="M620" t="str">
            <v>男</v>
          </cell>
        </row>
        <row r="621">
          <cell r="F621" t="str">
            <v>117.136.112.223(浙江-丽水)</v>
          </cell>
        </row>
        <row r="621">
          <cell r="M621" t="str">
            <v>男</v>
          </cell>
        </row>
        <row r="622">
          <cell r="F622" t="str">
            <v>183.211.170.95(江苏-镇江)</v>
          </cell>
        </row>
        <row r="622">
          <cell r="M622" t="str">
            <v>男</v>
          </cell>
        </row>
        <row r="623">
          <cell r="F623" t="str">
            <v>112.96.50.240(广东-广州)</v>
          </cell>
        </row>
        <row r="623">
          <cell r="M623" t="str">
            <v>男</v>
          </cell>
        </row>
        <row r="624">
          <cell r="F624" t="str">
            <v>223.73.57.66(广东-广州)</v>
          </cell>
        </row>
        <row r="624">
          <cell r="M624" t="str">
            <v>男</v>
          </cell>
        </row>
        <row r="625">
          <cell r="F625" t="str">
            <v>119.130.57.165(广东-广州)</v>
          </cell>
        </row>
        <row r="625">
          <cell r="M625" t="str">
            <v>男</v>
          </cell>
        </row>
        <row r="626">
          <cell r="F626" t="str">
            <v>183.52.209.36(广东-清远)</v>
          </cell>
        </row>
        <row r="626">
          <cell r="M626" t="str">
            <v>男</v>
          </cell>
        </row>
        <row r="627">
          <cell r="F627" t="str">
            <v>223.160.161.108(山东-济南)</v>
          </cell>
        </row>
        <row r="627">
          <cell r="M627" t="str">
            <v>男</v>
          </cell>
        </row>
        <row r="628">
          <cell r="F628" t="str">
            <v>139.159.170.85(广东-广州)</v>
          </cell>
        </row>
        <row r="628">
          <cell r="M628" t="str">
            <v>男</v>
          </cell>
        </row>
        <row r="629">
          <cell r="F629" t="str">
            <v>119.134.212.198(广东-汕尾)</v>
          </cell>
        </row>
        <row r="629">
          <cell r="M629" t="str">
            <v>男</v>
          </cell>
        </row>
        <row r="630">
          <cell r="F630" t="str">
            <v>223.160.170.156(安徽-合肥)</v>
          </cell>
        </row>
        <row r="630">
          <cell r="M630" t="str">
            <v>男</v>
          </cell>
        </row>
        <row r="631">
          <cell r="F631" t="str">
            <v>119.123.48.107(广东-深圳)</v>
          </cell>
        </row>
        <row r="631">
          <cell r="M631" t="str">
            <v>男</v>
          </cell>
        </row>
        <row r="632">
          <cell r="F632" t="str">
            <v>183.253.206.18(福建-南平)</v>
          </cell>
        </row>
        <row r="632">
          <cell r="M632" t="str">
            <v>男</v>
          </cell>
        </row>
        <row r="633">
          <cell r="F633" t="str">
            <v>121.13.131.41(广东-东莞)</v>
          </cell>
        </row>
        <row r="633">
          <cell r="M633" t="str">
            <v>男</v>
          </cell>
        </row>
        <row r="634">
          <cell r="F634" t="str">
            <v>111.33.251.122(天津-天津)</v>
          </cell>
        </row>
        <row r="634">
          <cell r="M634" t="str">
            <v>男</v>
          </cell>
        </row>
        <row r="635">
          <cell r="F635" t="str">
            <v>119.122.113.29(广东-深圳)</v>
          </cell>
        </row>
        <row r="635">
          <cell r="M635" t="str">
            <v>男</v>
          </cell>
        </row>
        <row r="636">
          <cell r="F636" t="str">
            <v>223.153.102.96(湖南-株洲)</v>
          </cell>
        </row>
        <row r="636">
          <cell r="M636" t="str">
            <v>男</v>
          </cell>
        </row>
        <row r="637">
          <cell r="F637" t="str">
            <v>113.126.32.153(山东-济南)</v>
          </cell>
        </row>
        <row r="637">
          <cell r="M637" t="str">
            <v>男</v>
          </cell>
        </row>
        <row r="638">
          <cell r="F638" t="str">
            <v>112.97.168.154(广东-东莞)</v>
          </cell>
        </row>
        <row r="638">
          <cell r="M638" t="str">
            <v>男</v>
          </cell>
        </row>
        <row r="639">
          <cell r="F639" t="str">
            <v>39.144.110.109(山东-临沂)</v>
          </cell>
        </row>
        <row r="639">
          <cell r="M639" t="str">
            <v>男</v>
          </cell>
        </row>
        <row r="640">
          <cell r="F640" t="str">
            <v>223.104.194.135(山东-济南)</v>
          </cell>
        </row>
        <row r="640">
          <cell r="M640" t="str">
            <v>男</v>
          </cell>
        </row>
        <row r="641">
          <cell r="F641" t="str">
            <v>122.96.32.59(江苏-南京)</v>
          </cell>
        </row>
        <row r="641">
          <cell r="M641" t="str">
            <v>男</v>
          </cell>
        </row>
        <row r="642">
          <cell r="F642" t="str">
            <v>112.97.83.134(广东-深圳)</v>
          </cell>
        </row>
        <row r="642">
          <cell r="M642" t="str">
            <v>男</v>
          </cell>
        </row>
        <row r="643">
          <cell r="F643" t="str">
            <v>112.224.190.5(山东-济南)</v>
          </cell>
        </row>
        <row r="643">
          <cell r="M643" t="str">
            <v>女</v>
          </cell>
        </row>
        <row r="644">
          <cell r="F644" t="str">
            <v>183.42.129.144(广东-广州)</v>
          </cell>
        </row>
        <row r="644">
          <cell r="M644" t="str">
            <v>男</v>
          </cell>
        </row>
        <row r="645">
          <cell r="F645" t="str">
            <v>183.57.197.31(广东-东莞)</v>
          </cell>
        </row>
        <row r="645">
          <cell r="M645" t="str">
            <v>男</v>
          </cell>
        </row>
        <row r="646">
          <cell r="F646" t="str">
            <v>14.216.23.84(广东-东莞)</v>
          </cell>
        </row>
        <row r="646">
          <cell r="M646" t="str">
            <v>男</v>
          </cell>
        </row>
        <row r="647">
          <cell r="F647" t="str">
            <v>112.255.148.126(山东-青岛)</v>
          </cell>
        </row>
        <row r="647">
          <cell r="M647" t="str">
            <v>男</v>
          </cell>
        </row>
        <row r="648">
          <cell r="F648" t="str">
            <v>182.117.30.177(河南-信阳)</v>
          </cell>
        </row>
        <row r="648">
          <cell r="M648" t="str">
            <v>男</v>
          </cell>
        </row>
        <row r="649">
          <cell r="F649" t="str">
            <v>171.219.18.196(四川-成都)</v>
          </cell>
        </row>
        <row r="649">
          <cell r="M649" t="str">
            <v>男</v>
          </cell>
        </row>
        <row r="650">
          <cell r="F650" t="str">
            <v>117.183.228.18(广西-河池)</v>
          </cell>
        </row>
        <row r="650">
          <cell r="M650" t="str">
            <v>男</v>
          </cell>
        </row>
        <row r="651">
          <cell r="F651" t="str">
            <v>111.19.73.134(陕西-榆林)</v>
          </cell>
        </row>
        <row r="651">
          <cell r="M651" t="str">
            <v>男</v>
          </cell>
        </row>
        <row r="652">
          <cell r="F652" t="str">
            <v>112.111.55.211(福建-福州)</v>
          </cell>
        </row>
        <row r="652">
          <cell r="M652" t="str">
            <v>男</v>
          </cell>
        </row>
        <row r="653">
          <cell r="F653" t="str">
            <v>123.139.98.85(陕西-西安)</v>
          </cell>
        </row>
        <row r="653">
          <cell r="M653" t="str">
            <v>男</v>
          </cell>
        </row>
        <row r="654">
          <cell r="F654" t="str">
            <v>39.149.184.244(河南-平顶山)</v>
          </cell>
        </row>
        <row r="654">
          <cell r="M654" t="str">
            <v>男</v>
          </cell>
        </row>
        <row r="655">
          <cell r="F655" t="str">
            <v>182.118.239.117(河南-郑州)</v>
          </cell>
        </row>
        <row r="655">
          <cell r="M655" t="str">
            <v>男</v>
          </cell>
        </row>
        <row r="656">
          <cell r="F656" t="str">
            <v>222.142.104.178(河南-平顶山)</v>
          </cell>
        </row>
        <row r="656">
          <cell r="M656" t="str">
            <v>男</v>
          </cell>
        </row>
        <row r="657">
          <cell r="F657" t="str">
            <v>182.118.239.117(河南-郑州)</v>
          </cell>
        </row>
        <row r="657">
          <cell r="M657" t="str">
            <v>女</v>
          </cell>
        </row>
        <row r="658">
          <cell r="F658" t="str">
            <v>223.160.224.137(广东-深圳)</v>
          </cell>
        </row>
        <row r="658">
          <cell r="M658" t="str">
            <v>男</v>
          </cell>
        </row>
        <row r="659">
          <cell r="F659" t="str">
            <v>183.228.231.22(重庆-重庆)</v>
          </cell>
        </row>
        <row r="659">
          <cell r="M659" t="str">
            <v>男</v>
          </cell>
        </row>
        <row r="660">
          <cell r="F660" t="str">
            <v>36.40.178.154(陕西-延安)</v>
          </cell>
        </row>
        <row r="660">
          <cell r="M660" t="str">
            <v>男</v>
          </cell>
        </row>
        <row r="661">
          <cell r="F661" t="str">
            <v>125.45.110.6(河南-南阳)</v>
          </cell>
        </row>
        <row r="661">
          <cell r="M661" t="str">
            <v>男</v>
          </cell>
        </row>
        <row r="662">
          <cell r="F662" t="str">
            <v>182.118.234.65(河南-洛阳)</v>
          </cell>
        </row>
        <row r="662">
          <cell r="M662" t="str">
            <v>女</v>
          </cell>
        </row>
        <row r="663">
          <cell r="F663" t="str">
            <v>125.45.110.6(河南-南阳)</v>
          </cell>
        </row>
        <row r="663">
          <cell r="M663" t="str">
            <v>男</v>
          </cell>
        </row>
        <row r="664">
          <cell r="F664" t="str">
            <v>120.238.162.37(广东-江门)</v>
          </cell>
        </row>
        <row r="664">
          <cell r="M664" t="str">
            <v>男</v>
          </cell>
        </row>
        <row r="665">
          <cell r="F665" t="str">
            <v>182.118.234.65(河南-洛阳)</v>
          </cell>
        </row>
        <row r="665">
          <cell r="M665" t="str">
            <v>男</v>
          </cell>
        </row>
        <row r="666">
          <cell r="F666" t="str">
            <v>119.39.40.29(湖南-长沙)</v>
          </cell>
        </row>
        <row r="666">
          <cell r="M666" t="str">
            <v>男</v>
          </cell>
        </row>
        <row r="667">
          <cell r="F667" t="str">
            <v>121.205.193.2(福建-莆田)</v>
          </cell>
        </row>
        <row r="667">
          <cell r="M667" t="str">
            <v>男</v>
          </cell>
        </row>
        <row r="668">
          <cell r="F668" t="str">
            <v>222.212.9.105(四川-成都)</v>
          </cell>
        </row>
        <row r="668">
          <cell r="M668" t="str">
            <v>男</v>
          </cell>
        </row>
        <row r="669">
          <cell r="F669" t="str">
            <v>223.104.194.208(山东-济南)</v>
          </cell>
        </row>
        <row r="669">
          <cell r="M669" t="str">
            <v>男</v>
          </cell>
        </row>
        <row r="670">
          <cell r="F670" t="str">
            <v>112.224.159.239(山东-临沂)</v>
          </cell>
        </row>
        <row r="670">
          <cell r="M670" t="str">
            <v>女</v>
          </cell>
        </row>
        <row r="671">
          <cell r="F671" t="str">
            <v>27.204.74.29(山东-济南)</v>
          </cell>
        </row>
        <row r="671">
          <cell r="M671" t="str">
            <v>女</v>
          </cell>
        </row>
        <row r="672">
          <cell r="F672" t="str">
            <v>111.14.118.247(山东-济南)</v>
          </cell>
        </row>
        <row r="672">
          <cell r="M672" t="str">
            <v>女</v>
          </cell>
        </row>
        <row r="673">
          <cell r="F673" t="str">
            <v>14.150.0.182(广东-广州)</v>
          </cell>
        </row>
        <row r="673">
          <cell r="M673" t="str">
            <v>男</v>
          </cell>
        </row>
        <row r="674">
          <cell r="F674" t="str">
            <v>183.233.204.18(广东-惠州)</v>
          </cell>
        </row>
        <row r="674">
          <cell r="M674" t="str">
            <v>男</v>
          </cell>
        </row>
        <row r="675">
          <cell r="F675" t="str">
            <v>119.39.4.171(湖南-长沙)</v>
          </cell>
        </row>
        <row r="675">
          <cell r="M675" t="str">
            <v>男</v>
          </cell>
        </row>
        <row r="676">
          <cell r="F676" t="str">
            <v>111.55.20.228(河南-郑州)</v>
          </cell>
        </row>
        <row r="676">
          <cell r="M676" t="str">
            <v>男</v>
          </cell>
        </row>
        <row r="677">
          <cell r="F677" t="str">
            <v>60.172.8.238(安徽-阜阳)</v>
          </cell>
        </row>
        <row r="677">
          <cell r="M677" t="str">
            <v>男</v>
          </cell>
        </row>
        <row r="678">
          <cell r="F678" t="str">
            <v>223.104.77.130(广东-深圳)</v>
          </cell>
        </row>
        <row r="678">
          <cell r="M678" t="str">
            <v>男</v>
          </cell>
        </row>
        <row r="679">
          <cell r="F679" t="str">
            <v>113.201.132.29(陕西-西安)</v>
          </cell>
        </row>
        <row r="679">
          <cell r="M679" t="str">
            <v>男</v>
          </cell>
        </row>
        <row r="680">
          <cell r="F680" t="str">
            <v>14.24.225.15(广东-广州)</v>
          </cell>
        </row>
        <row r="680">
          <cell r="M680" t="str">
            <v>男</v>
          </cell>
        </row>
        <row r="681">
          <cell r="F681" t="str">
            <v>111.14.255.130(山东-临沂)</v>
          </cell>
        </row>
        <row r="681">
          <cell r="M681" t="str">
            <v>男</v>
          </cell>
        </row>
        <row r="682">
          <cell r="F682" t="str">
            <v>183.42.138.87(广东-广州)</v>
          </cell>
        </row>
        <row r="682">
          <cell r="M682" t="str">
            <v>女</v>
          </cell>
        </row>
        <row r="683">
          <cell r="F683" t="str">
            <v>39.85.107.58(山东-泰安)</v>
          </cell>
        </row>
        <row r="683">
          <cell r="M683" t="str">
            <v>女</v>
          </cell>
        </row>
        <row r="684">
          <cell r="F684" t="str">
            <v>113.70.93.68(广东-佛山)</v>
          </cell>
        </row>
        <row r="684">
          <cell r="M684" t="str">
            <v>女</v>
          </cell>
        </row>
        <row r="685">
          <cell r="F685" t="str">
            <v>111.18.6.87(陕西-西安)</v>
          </cell>
        </row>
        <row r="685">
          <cell r="M685" t="str">
            <v>男</v>
          </cell>
        </row>
        <row r="686">
          <cell r="F686" t="str">
            <v>115.57.137.98(河南-郑州)</v>
          </cell>
        </row>
        <row r="686">
          <cell r="M686" t="str">
            <v>女</v>
          </cell>
        </row>
        <row r="687">
          <cell r="F687" t="str">
            <v>113.77.32.171(广东-东莞)</v>
          </cell>
        </row>
        <row r="687">
          <cell r="M687" t="str">
            <v>男</v>
          </cell>
        </row>
        <row r="688">
          <cell r="F688" t="str">
            <v>157.61.248.19(广东-茂名)</v>
          </cell>
        </row>
        <row r="688">
          <cell r="M688" t="str">
            <v>男</v>
          </cell>
        </row>
        <row r="689">
          <cell r="F689" t="str">
            <v>183.46.65.69(广东-汕头)</v>
          </cell>
        </row>
        <row r="689">
          <cell r="M689" t="str">
            <v>男</v>
          </cell>
        </row>
        <row r="690">
          <cell r="F690" t="str">
            <v>27.37.196.166(广东-东莞)</v>
          </cell>
        </row>
        <row r="690">
          <cell r="M690" t="str">
            <v>男</v>
          </cell>
        </row>
        <row r="691">
          <cell r="F691" t="str">
            <v>223.104.196.15(山东-济宁)</v>
          </cell>
        </row>
        <row r="691">
          <cell r="M691" t="str">
            <v>男</v>
          </cell>
        </row>
        <row r="692">
          <cell r="F692" t="str">
            <v>120.196.81.61(广东-广州)</v>
          </cell>
        </row>
        <row r="692">
          <cell r="M692" t="str">
            <v>男</v>
          </cell>
        </row>
        <row r="693">
          <cell r="F693" t="str">
            <v>120.196.81.61(广东-广州)</v>
          </cell>
        </row>
        <row r="693">
          <cell r="M693" t="str">
            <v>女</v>
          </cell>
        </row>
        <row r="694">
          <cell r="F694" t="str">
            <v>113.13.220.41(广西-钦州)</v>
          </cell>
        </row>
        <row r="694">
          <cell r="M694" t="str">
            <v>男</v>
          </cell>
        </row>
        <row r="695">
          <cell r="F695" t="str">
            <v>39.144.240.93(安徽-合肥)</v>
          </cell>
        </row>
        <row r="695">
          <cell r="M695" t="str">
            <v>男</v>
          </cell>
        </row>
        <row r="696">
          <cell r="F696" t="str">
            <v>112.40.118.151(辽宁-鞍山)</v>
          </cell>
        </row>
        <row r="696">
          <cell r="M696" t="str">
            <v>男</v>
          </cell>
        </row>
        <row r="697">
          <cell r="F697" t="str">
            <v>124.234.51.234(吉林-吉林)</v>
          </cell>
        </row>
        <row r="697">
          <cell r="M697" t="str">
            <v>女</v>
          </cell>
        </row>
        <row r="698">
          <cell r="F698" t="str">
            <v>42.88.217.41(甘肃-金昌)</v>
          </cell>
        </row>
        <row r="698">
          <cell r="M698" t="str">
            <v>男</v>
          </cell>
        </row>
        <row r="699">
          <cell r="F699" t="str">
            <v>27.186.193.117(河北-保定)</v>
          </cell>
        </row>
        <row r="699">
          <cell r="M699" t="str">
            <v>男</v>
          </cell>
        </row>
        <row r="700">
          <cell r="F700" t="str">
            <v>223.104.110.115(河南-郑州)</v>
          </cell>
        </row>
        <row r="700">
          <cell r="M700" t="str">
            <v>女</v>
          </cell>
        </row>
        <row r="701">
          <cell r="F701" t="str">
            <v>144.0.178.214(山东-菏泽)</v>
          </cell>
        </row>
        <row r="701">
          <cell r="M701" t="str">
            <v>男</v>
          </cell>
        </row>
        <row r="702">
          <cell r="F702" t="str">
            <v>183.42.172.147(广东-广州)</v>
          </cell>
        </row>
        <row r="702">
          <cell r="M702" t="str">
            <v>男</v>
          </cell>
        </row>
        <row r="703">
          <cell r="F703" t="str">
            <v>117.140.72.174(广西-柳州)</v>
          </cell>
        </row>
        <row r="703">
          <cell r="M703" t="str">
            <v>女</v>
          </cell>
        </row>
        <row r="704">
          <cell r="F704" t="str">
            <v>112.97.172.56(广东-东莞)</v>
          </cell>
        </row>
        <row r="704">
          <cell r="M704" t="str">
            <v>女</v>
          </cell>
        </row>
        <row r="705">
          <cell r="F705" t="str">
            <v>110.187.244.226(四川-泸州)</v>
          </cell>
        </row>
        <row r="705">
          <cell r="M705" t="str">
            <v>女</v>
          </cell>
        </row>
        <row r="706">
          <cell r="F706" t="str">
            <v>223.153.56.61(湖南-张家界)</v>
          </cell>
        </row>
        <row r="706">
          <cell r="M706" t="str">
            <v>女</v>
          </cell>
        </row>
        <row r="707">
          <cell r="F707" t="str">
            <v>171.12.76.34(河南-平顶山)</v>
          </cell>
        </row>
        <row r="707">
          <cell r="M707" t="str">
            <v>男</v>
          </cell>
        </row>
        <row r="708">
          <cell r="F708" t="str">
            <v>111.194.217.72(北京-北京)</v>
          </cell>
        </row>
        <row r="708">
          <cell r="M708" t="str">
            <v>男</v>
          </cell>
        </row>
        <row r="709">
          <cell r="F709" t="str">
            <v>14.31.66.167(广东-东莞)</v>
          </cell>
        </row>
        <row r="709">
          <cell r="M709" t="str">
            <v>男</v>
          </cell>
        </row>
        <row r="710">
          <cell r="F710" t="str">
            <v>180.137.17.22(广西-玉林)</v>
          </cell>
        </row>
        <row r="710">
          <cell r="M710" t="str">
            <v>男</v>
          </cell>
        </row>
        <row r="711">
          <cell r="F711" t="str">
            <v>39.144.92.141(内蒙古-呼和浩特)</v>
          </cell>
        </row>
        <row r="711">
          <cell r="M711" t="str">
            <v>男</v>
          </cell>
        </row>
        <row r="712">
          <cell r="F712" t="str">
            <v>106.34.59.199(河南-郑州)</v>
          </cell>
        </row>
        <row r="712">
          <cell r="M712" t="str">
            <v>男</v>
          </cell>
        </row>
        <row r="713">
          <cell r="F713" t="str">
            <v>182.39.196.27(山东-枣庄)</v>
          </cell>
        </row>
        <row r="713">
          <cell r="M713" t="str">
            <v>女</v>
          </cell>
        </row>
        <row r="714">
          <cell r="F714" t="str">
            <v>39.163.171.186(河南-洛阳)</v>
          </cell>
        </row>
        <row r="714">
          <cell r="M714" t="str">
            <v>男</v>
          </cell>
        </row>
        <row r="715">
          <cell r="F715" t="str">
            <v>111.15.109.121(山东-烟台)</v>
          </cell>
        </row>
        <row r="715">
          <cell r="M715" t="str">
            <v>男</v>
          </cell>
        </row>
        <row r="716">
          <cell r="F716" t="str">
            <v>171.121.254.180(山西-运城)</v>
          </cell>
        </row>
        <row r="716">
          <cell r="M716" t="str">
            <v>男</v>
          </cell>
        </row>
        <row r="717">
          <cell r="F717" t="str">
            <v>123.134.113.181(山东-济南)</v>
          </cell>
        </row>
        <row r="717">
          <cell r="M717" t="str">
            <v>男</v>
          </cell>
        </row>
        <row r="718">
          <cell r="F718" t="str">
            <v>175.31.13.78(吉林-吉林)</v>
          </cell>
        </row>
        <row r="718">
          <cell r="M718" t="str">
            <v>男</v>
          </cell>
        </row>
        <row r="719">
          <cell r="F719" t="str">
            <v>112.65.1.232(上海-上海)</v>
          </cell>
        </row>
        <row r="719">
          <cell r="M719" t="str">
            <v>男</v>
          </cell>
        </row>
        <row r="720">
          <cell r="F720" t="str">
            <v>124.235.203.228(吉林-长春)</v>
          </cell>
        </row>
        <row r="720">
          <cell r="M720" t="str">
            <v>女</v>
          </cell>
        </row>
        <row r="721">
          <cell r="F721" t="str">
            <v>112.224.162.50(山东-济南)</v>
          </cell>
        </row>
        <row r="721">
          <cell r="M721" t="str">
            <v>男</v>
          </cell>
        </row>
        <row r="722">
          <cell r="F722" t="str">
            <v>36.163.139.66(陕西-渭南)</v>
          </cell>
        </row>
        <row r="722">
          <cell r="M722" t="str">
            <v>男</v>
          </cell>
        </row>
        <row r="723">
          <cell r="F723" t="str">
            <v>111.113.107.48(宁夏-银川)</v>
          </cell>
        </row>
        <row r="723">
          <cell r="M723" t="str">
            <v>男</v>
          </cell>
        </row>
        <row r="724">
          <cell r="F724" t="str">
            <v>223.104.69.252(广东-惠州)</v>
          </cell>
        </row>
        <row r="724">
          <cell r="M724" t="str">
            <v>男</v>
          </cell>
        </row>
        <row r="725">
          <cell r="F725" t="str">
            <v>36.43.192.183(陕西-西安)</v>
          </cell>
        </row>
        <row r="725">
          <cell r="M725" t="str">
            <v>男</v>
          </cell>
        </row>
        <row r="726">
          <cell r="F726" t="str">
            <v>39.144.210.30(甘肃-兰州)</v>
          </cell>
        </row>
        <row r="726">
          <cell r="M726" t="str">
            <v>男</v>
          </cell>
        </row>
        <row r="727">
          <cell r="F727" t="str">
            <v>123.163.245.249(河南-漯河)</v>
          </cell>
        </row>
        <row r="727">
          <cell r="M727" t="str">
            <v>女</v>
          </cell>
        </row>
        <row r="728">
          <cell r="F728" t="str">
            <v>123.181.90.253(河北-沧州)</v>
          </cell>
        </row>
        <row r="728">
          <cell r="M728" t="str">
            <v>男</v>
          </cell>
        </row>
        <row r="729">
          <cell r="F729" t="str">
            <v>125.45.110.101(河南-南阳)</v>
          </cell>
        </row>
        <row r="729">
          <cell r="M729" t="str">
            <v>男</v>
          </cell>
        </row>
        <row r="730">
          <cell r="F730" t="str">
            <v>125.45.110.101(河南-南阳)</v>
          </cell>
        </row>
        <row r="730">
          <cell r="M730" t="str">
            <v>男</v>
          </cell>
        </row>
        <row r="731">
          <cell r="F731" t="str">
            <v>117.135.127.45(上海-上海)</v>
          </cell>
        </row>
        <row r="731">
          <cell r="M731" t="str">
            <v>男</v>
          </cell>
        </row>
        <row r="732">
          <cell r="F732" t="str">
            <v>113.13.100.127(广西-柳州)</v>
          </cell>
        </row>
        <row r="732">
          <cell r="M732" t="str">
            <v>女</v>
          </cell>
        </row>
        <row r="733">
          <cell r="F733" t="str">
            <v>113.222.204.104(湖南-株洲)</v>
          </cell>
        </row>
        <row r="733">
          <cell r="M733" t="str">
            <v>男</v>
          </cell>
        </row>
        <row r="734">
          <cell r="F734" t="str">
            <v>123.5.213.239(河南-洛阳)</v>
          </cell>
        </row>
        <row r="734">
          <cell r="M734" t="str">
            <v>男</v>
          </cell>
        </row>
        <row r="735">
          <cell r="F735" t="str">
            <v>117.43.124.221(江西-南昌)</v>
          </cell>
        </row>
        <row r="735">
          <cell r="M735" t="str">
            <v>男</v>
          </cell>
        </row>
        <row r="736">
          <cell r="F736" t="str">
            <v>117.175.50.19(四川-成都)</v>
          </cell>
        </row>
        <row r="736">
          <cell r="M736" t="str">
            <v>男</v>
          </cell>
        </row>
        <row r="737">
          <cell r="F737" t="str">
            <v>219.141.69.146(贵州-遵义)</v>
          </cell>
        </row>
        <row r="737">
          <cell r="M737" t="str">
            <v>男</v>
          </cell>
        </row>
        <row r="738">
          <cell r="F738" t="str">
            <v>123.173.62.43(吉林-长春)</v>
          </cell>
        </row>
        <row r="738">
          <cell r="M738" t="str">
            <v>男</v>
          </cell>
        </row>
        <row r="739">
          <cell r="F739" t="str">
            <v>112.96.83.145(广东-佛山)</v>
          </cell>
        </row>
        <row r="739">
          <cell r="M739" t="str">
            <v>男</v>
          </cell>
        </row>
        <row r="740">
          <cell r="F740" t="str">
            <v>117.13.137.167(天津-天津)</v>
          </cell>
        </row>
        <row r="740">
          <cell r="M740" t="str">
            <v>女</v>
          </cell>
        </row>
        <row r="741">
          <cell r="F741" t="str">
            <v>113.73.136.149(广东-中山)</v>
          </cell>
        </row>
        <row r="741">
          <cell r="M741" t="str">
            <v>男</v>
          </cell>
        </row>
        <row r="742">
          <cell r="F742" t="str">
            <v>113.73.136.149(广东-中山)</v>
          </cell>
        </row>
        <row r="742">
          <cell r="M742" t="str">
            <v>男</v>
          </cell>
        </row>
        <row r="743">
          <cell r="F743" t="str">
            <v>112.83.46.7(江苏-镇江)</v>
          </cell>
        </row>
        <row r="743">
          <cell r="M743" t="str">
            <v>男</v>
          </cell>
        </row>
        <row r="744">
          <cell r="F744" t="str">
            <v>111.181.21.45(湖北-武汉)</v>
          </cell>
        </row>
        <row r="744">
          <cell r="M744" t="str">
            <v>男</v>
          </cell>
        </row>
        <row r="745">
          <cell r="F745" t="str">
            <v>117.13.137.167(天津-天津)</v>
          </cell>
        </row>
        <row r="745">
          <cell r="M745" t="str">
            <v>女</v>
          </cell>
        </row>
        <row r="746">
          <cell r="F746" t="str">
            <v>27.36.55.194(广东-佛山)</v>
          </cell>
        </row>
        <row r="746">
          <cell r="M746" t="str">
            <v>女</v>
          </cell>
        </row>
        <row r="747">
          <cell r="F747" t="str">
            <v>118.251.250.243(湖南-湘潭)</v>
          </cell>
        </row>
        <row r="747">
          <cell r="M747" t="str">
            <v>男</v>
          </cell>
        </row>
        <row r="748">
          <cell r="F748" t="str">
            <v>112.251.116.83(山东-临沂)</v>
          </cell>
        </row>
        <row r="748">
          <cell r="M748" t="str">
            <v>男</v>
          </cell>
        </row>
        <row r="749">
          <cell r="F749" t="str">
            <v>120.228.92.247(湖南-长沙)</v>
          </cell>
        </row>
        <row r="749">
          <cell r="M749" t="str">
            <v>男</v>
          </cell>
        </row>
        <row r="750">
          <cell r="F750" t="str">
            <v>120.228.92.247(湖南-长沙)</v>
          </cell>
        </row>
        <row r="750">
          <cell r="M750" t="str">
            <v>男</v>
          </cell>
        </row>
        <row r="751">
          <cell r="F751" t="str">
            <v>1.50.130.206(宁夏-吴忠)</v>
          </cell>
        </row>
        <row r="751">
          <cell r="M751" t="str">
            <v>男</v>
          </cell>
        </row>
        <row r="752">
          <cell r="F752" t="str">
            <v>183.9.227.213(广东-揭阳)</v>
          </cell>
        </row>
        <row r="752">
          <cell r="M752" t="str">
            <v>男</v>
          </cell>
        </row>
        <row r="753">
          <cell r="F753" t="str">
            <v>223.104.72.150(广东-湛江)</v>
          </cell>
        </row>
        <row r="753">
          <cell r="M753" t="str">
            <v>男</v>
          </cell>
        </row>
        <row r="754">
          <cell r="F754" t="str">
            <v>117.140.215.246(广西-南宁)</v>
          </cell>
        </row>
        <row r="754">
          <cell r="M754" t="str">
            <v>男</v>
          </cell>
        </row>
        <row r="755">
          <cell r="F755" t="str">
            <v>120.231.49.97(广东-茂名)</v>
          </cell>
        </row>
        <row r="755">
          <cell r="M755" t="str">
            <v>男</v>
          </cell>
        </row>
        <row r="756">
          <cell r="F756" t="str">
            <v>111.55.13.12(广西-南宁)</v>
          </cell>
        </row>
        <row r="756">
          <cell r="M756" t="str">
            <v>男</v>
          </cell>
        </row>
        <row r="757">
          <cell r="F757" t="str">
            <v>180.140.160.104(广西-南宁)</v>
          </cell>
        </row>
        <row r="757">
          <cell r="M757" t="str">
            <v>男</v>
          </cell>
        </row>
        <row r="758">
          <cell r="F758" t="str">
            <v>182.39.142.217(山东-枣庄)</v>
          </cell>
        </row>
        <row r="758">
          <cell r="M758" t="str">
            <v>男</v>
          </cell>
        </row>
        <row r="759">
          <cell r="F759" t="str">
            <v>223.104.155.236(江苏-南京)</v>
          </cell>
        </row>
        <row r="759">
          <cell r="M759" t="str">
            <v>男</v>
          </cell>
        </row>
        <row r="760">
          <cell r="F760" t="str">
            <v>1.198.142.87(河南-焦作)</v>
          </cell>
        </row>
        <row r="760">
          <cell r="M760" t="str">
            <v>女</v>
          </cell>
        </row>
        <row r="761">
          <cell r="F761" t="str">
            <v>220.205.252.124(安徽-合肥)</v>
          </cell>
        </row>
        <row r="761">
          <cell r="M761" t="str">
            <v>女</v>
          </cell>
        </row>
        <row r="762">
          <cell r="F762" t="str">
            <v>117.153.23.44(湖北-襄阳)</v>
          </cell>
        </row>
        <row r="762">
          <cell r="M762" t="str">
            <v>男</v>
          </cell>
        </row>
        <row r="763">
          <cell r="F763" t="str">
            <v>223.104.61.113(广东-东莞)</v>
          </cell>
        </row>
        <row r="763">
          <cell r="M763" t="str">
            <v>男</v>
          </cell>
        </row>
        <row r="764">
          <cell r="F764" t="str">
            <v>39.144.92.10(内蒙古-呼和浩特)</v>
          </cell>
        </row>
        <row r="764">
          <cell r="M764" t="str">
            <v>男</v>
          </cell>
        </row>
        <row r="765">
          <cell r="F765" t="str">
            <v>123.129.118.119(山东-东营)</v>
          </cell>
        </row>
        <row r="765">
          <cell r="M765" t="str">
            <v>男</v>
          </cell>
        </row>
        <row r="766">
          <cell r="F766" t="str">
            <v>223.220.189.31(青海-西宁)</v>
          </cell>
        </row>
        <row r="766">
          <cell r="M766" t="str">
            <v>男</v>
          </cell>
        </row>
        <row r="767">
          <cell r="F767" t="str">
            <v>36.99.93.220(河南-焦作)</v>
          </cell>
        </row>
        <row r="767">
          <cell r="M767" t="str">
            <v>男</v>
          </cell>
        </row>
        <row r="768">
          <cell r="F768" t="str">
            <v>119.123.206.77(广东-深圳)</v>
          </cell>
        </row>
        <row r="768">
          <cell r="M768" t="str">
            <v>女</v>
          </cell>
        </row>
        <row r="769">
          <cell r="F769" t="str">
            <v>1.206.148.91(贵州-黔南)</v>
          </cell>
        </row>
        <row r="769">
          <cell r="M769" t="str">
            <v>男</v>
          </cell>
        </row>
        <row r="770">
          <cell r="F770" t="str">
            <v>111.55.166.109(广西-南宁)</v>
          </cell>
        </row>
        <row r="770">
          <cell r="M770" t="str">
            <v>男</v>
          </cell>
        </row>
        <row r="771">
          <cell r="F771" t="str">
            <v>112.97.197.227(广东-东莞)</v>
          </cell>
        </row>
        <row r="771">
          <cell r="M771" t="str">
            <v>男</v>
          </cell>
        </row>
        <row r="772">
          <cell r="F772" t="str">
            <v>120.225.170.39(山东-滨州)</v>
          </cell>
        </row>
        <row r="772">
          <cell r="M772" t="str">
            <v>男</v>
          </cell>
        </row>
        <row r="773">
          <cell r="F773" t="str">
            <v>39.144.151.156(江苏-盐城)</v>
          </cell>
        </row>
        <row r="773">
          <cell r="M773" t="str">
            <v>男</v>
          </cell>
        </row>
        <row r="774">
          <cell r="F774" t="str">
            <v>144.255.214.127(山东-滨州)</v>
          </cell>
        </row>
        <row r="774">
          <cell r="M774" t="str">
            <v>女</v>
          </cell>
        </row>
        <row r="775">
          <cell r="F775" t="str">
            <v>144.255.214.127(山东-滨州)</v>
          </cell>
        </row>
        <row r="775">
          <cell r="M775" t="str">
            <v>男</v>
          </cell>
        </row>
        <row r="776">
          <cell r="F776" t="str">
            <v>39.144.190.195(湖南-娄底)</v>
          </cell>
        </row>
        <row r="776">
          <cell r="M776" t="str">
            <v>男</v>
          </cell>
        </row>
        <row r="777">
          <cell r="F777" t="str">
            <v>113.13.116.130(广西-柳州)</v>
          </cell>
        </row>
        <row r="777">
          <cell r="M777" t="str">
            <v>男</v>
          </cell>
        </row>
        <row r="778">
          <cell r="F778" t="str">
            <v>36.106.191.138(天津-天津)</v>
          </cell>
        </row>
        <row r="778">
          <cell r="M778" t="str">
            <v>女</v>
          </cell>
        </row>
        <row r="779">
          <cell r="F779" t="str">
            <v>112.19.70.93(四川-宜宾)</v>
          </cell>
        </row>
        <row r="779">
          <cell r="M779" t="str">
            <v>女</v>
          </cell>
        </row>
        <row r="780">
          <cell r="F780" t="str">
            <v>183.7.83.152(广东-汕头)</v>
          </cell>
        </row>
        <row r="780">
          <cell r="M780" t="str">
            <v>男</v>
          </cell>
        </row>
        <row r="781">
          <cell r="F781" t="str">
            <v>39.154.12.172(内蒙古-呼和浩特)</v>
          </cell>
        </row>
        <row r="781">
          <cell r="M781" t="str">
            <v>男</v>
          </cell>
        </row>
        <row r="782">
          <cell r="F782" t="str">
            <v>120.235.26.80(广东-梅州)</v>
          </cell>
        </row>
        <row r="782">
          <cell r="M782" t="str">
            <v>男</v>
          </cell>
        </row>
        <row r="783">
          <cell r="F783" t="str">
            <v>117.136.108.40(江西-抚州)</v>
          </cell>
        </row>
        <row r="783">
          <cell r="M783" t="str">
            <v>男</v>
          </cell>
        </row>
        <row r="784">
          <cell r="F784" t="str">
            <v>39.144.194.11(湖南-株洲)</v>
          </cell>
        </row>
        <row r="784">
          <cell r="M784" t="str">
            <v>男</v>
          </cell>
        </row>
        <row r="785">
          <cell r="F785" t="str">
            <v>125.36.185.148(天津-天津)</v>
          </cell>
        </row>
        <row r="785">
          <cell r="M785" t="str">
            <v>女</v>
          </cell>
        </row>
        <row r="786">
          <cell r="F786" t="str">
            <v>122.192.15.79(江苏-苏州)</v>
          </cell>
        </row>
        <row r="786">
          <cell r="M786" t="str">
            <v>男</v>
          </cell>
        </row>
        <row r="787">
          <cell r="F787" t="str">
            <v>113.13.157.50(广西-柳州)</v>
          </cell>
        </row>
        <row r="787">
          <cell r="M787" t="str">
            <v>男</v>
          </cell>
        </row>
        <row r="788">
          <cell r="F788" t="str">
            <v>106.47.202.212(天津-天津)</v>
          </cell>
        </row>
        <row r="788">
          <cell r="M788" t="str">
            <v>女</v>
          </cell>
        </row>
        <row r="789">
          <cell r="F789" t="str">
            <v>1.193.180.192(河南-洛阳)</v>
          </cell>
        </row>
        <row r="789">
          <cell r="M789" t="str">
            <v>男</v>
          </cell>
        </row>
        <row r="790">
          <cell r="F790" t="str">
            <v>39.144.135.234(广西-南宁)</v>
          </cell>
        </row>
        <row r="790">
          <cell r="M790" t="str">
            <v>女</v>
          </cell>
        </row>
        <row r="791">
          <cell r="F791" t="str">
            <v>39.144.135.234(广西-南宁)</v>
          </cell>
        </row>
        <row r="791">
          <cell r="M791" t="str">
            <v>女</v>
          </cell>
        </row>
        <row r="792">
          <cell r="F792" t="str">
            <v>39.86.241.224(山东-烟台)</v>
          </cell>
        </row>
        <row r="792">
          <cell r="M792" t="str">
            <v>男</v>
          </cell>
        </row>
        <row r="793">
          <cell r="F793" t="str">
            <v>112.94.96.62(广东-广州)</v>
          </cell>
        </row>
        <row r="793">
          <cell r="M793" t="str">
            <v>男</v>
          </cell>
        </row>
        <row r="794">
          <cell r="F794" t="str">
            <v>113.132.208.253(陕西-西安)</v>
          </cell>
        </row>
        <row r="794">
          <cell r="M794" t="str">
            <v>男</v>
          </cell>
        </row>
        <row r="795">
          <cell r="F795" t="str">
            <v>111.55.10.65(广西-柳州)</v>
          </cell>
        </row>
        <row r="795">
          <cell r="M795" t="str">
            <v>女</v>
          </cell>
        </row>
        <row r="796">
          <cell r="F796" t="str">
            <v>39.144.187.23(河南-焦作)</v>
          </cell>
        </row>
        <row r="796">
          <cell r="M796" t="str">
            <v>男</v>
          </cell>
        </row>
        <row r="797">
          <cell r="F797" t="str">
            <v>123.170.9.252(山东-东营)</v>
          </cell>
        </row>
        <row r="797">
          <cell r="M797" t="str">
            <v>男</v>
          </cell>
        </row>
        <row r="798">
          <cell r="F798" t="str">
            <v>120.227.18.241(湖南-长沙)</v>
          </cell>
        </row>
        <row r="798">
          <cell r="M798" t="str">
            <v>男</v>
          </cell>
        </row>
        <row r="799">
          <cell r="F799" t="str">
            <v>106.16.213.239(湖南-长沙)</v>
          </cell>
        </row>
        <row r="799">
          <cell r="M799" t="str">
            <v>女</v>
          </cell>
        </row>
        <row r="800">
          <cell r="F800" t="str">
            <v>118.119.64.193(四川-资阳)</v>
          </cell>
        </row>
        <row r="800">
          <cell r="M800" t="str">
            <v>男</v>
          </cell>
        </row>
        <row r="801">
          <cell r="F801" t="str">
            <v>124.240.78.82(广东-佛山)</v>
          </cell>
        </row>
        <row r="801">
          <cell r="M801" t="str">
            <v>女</v>
          </cell>
        </row>
        <row r="802">
          <cell r="F802" t="str">
            <v>123.232.137.12(山东-济南)</v>
          </cell>
        </row>
        <row r="802">
          <cell r="M802" t="str">
            <v>男</v>
          </cell>
        </row>
        <row r="803">
          <cell r="F803" t="str">
            <v>223.160.235.137(广西-南宁)</v>
          </cell>
        </row>
        <row r="803">
          <cell r="M803" t="str">
            <v>男</v>
          </cell>
        </row>
        <row r="804">
          <cell r="F804" t="str">
            <v>14.26.147.24(广东-广州)</v>
          </cell>
        </row>
        <row r="804">
          <cell r="M804" t="str">
            <v>女</v>
          </cell>
        </row>
        <row r="805">
          <cell r="F805" t="str">
            <v>1.48.90.22(贵州-黔南)</v>
          </cell>
        </row>
        <row r="805">
          <cell r="M805" t="str">
            <v>男</v>
          </cell>
        </row>
        <row r="806">
          <cell r="F806" t="str">
            <v>115.53.112.22(河南-许昌)</v>
          </cell>
        </row>
        <row r="806">
          <cell r="M806" t="str">
            <v>女</v>
          </cell>
        </row>
        <row r="807">
          <cell r="F807" t="str">
            <v>117.182.87.175(广西-河池)</v>
          </cell>
        </row>
        <row r="807">
          <cell r="M807" t="str">
            <v>男</v>
          </cell>
        </row>
        <row r="808">
          <cell r="F808" t="str">
            <v>223.88.17.111(河南-郑州)</v>
          </cell>
        </row>
        <row r="808">
          <cell r="M808" t="str">
            <v>男</v>
          </cell>
        </row>
        <row r="809">
          <cell r="F809" t="str">
            <v>60.31.146.170(内蒙古-乌兰察布)</v>
          </cell>
        </row>
        <row r="809">
          <cell r="M809" t="str">
            <v>男</v>
          </cell>
        </row>
        <row r="810">
          <cell r="F810" t="str">
            <v>115.57.116.108(河南-郑州)</v>
          </cell>
        </row>
        <row r="810">
          <cell r="M810" t="str">
            <v>女</v>
          </cell>
        </row>
        <row r="811">
          <cell r="F811" t="str">
            <v>36.59.59.193(安徽-合肥)</v>
          </cell>
        </row>
        <row r="811">
          <cell r="M811" t="str">
            <v>男</v>
          </cell>
        </row>
        <row r="812">
          <cell r="F812" t="str">
            <v>111.55.36.0(云南-曲靖)</v>
          </cell>
        </row>
        <row r="812">
          <cell r="M812" t="str">
            <v>男</v>
          </cell>
        </row>
        <row r="813">
          <cell r="F813" t="str">
            <v>59.61.176.153(福建-福州)</v>
          </cell>
        </row>
        <row r="813">
          <cell r="M813" t="str">
            <v>男</v>
          </cell>
        </row>
        <row r="814">
          <cell r="F814" t="str">
            <v>112.224.141.114(山东-济南)</v>
          </cell>
        </row>
        <row r="814">
          <cell r="M814" t="str">
            <v>男</v>
          </cell>
        </row>
        <row r="815">
          <cell r="F815" t="str">
            <v>223.88.13.168(河南-郑州)</v>
          </cell>
        </row>
        <row r="815">
          <cell r="M815" t="str">
            <v>男</v>
          </cell>
        </row>
        <row r="816">
          <cell r="F816" t="str">
            <v>223.104.195.231(山东-泰安)</v>
          </cell>
        </row>
        <row r="816">
          <cell r="M816" t="str">
            <v>男</v>
          </cell>
        </row>
        <row r="817">
          <cell r="F817" t="str">
            <v>171.218.178.79(四川-成都)</v>
          </cell>
        </row>
        <row r="817">
          <cell r="M817" t="str">
            <v>男</v>
          </cell>
        </row>
        <row r="818">
          <cell r="F818" t="str">
            <v>183.223.134.248(四川-成都)</v>
          </cell>
        </row>
        <row r="818">
          <cell r="M818" t="str">
            <v>男</v>
          </cell>
        </row>
        <row r="819">
          <cell r="F819" t="str">
            <v>183.206.78.220(江苏-连云港)</v>
          </cell>
        </row>
        <row r="819">
          <cell r="M819" t="str">
            <v>男</v>
          </cell>
        </row>
        <row r="820">
          <cell r="F820" t="str">
            <v>42.239.114.65(河南-商丘)</v>
          </cell>
        </row>
        <row r="820">
          <cell r="M820" t="str">
            <v>男</v>
          </cell>
        </row>
        <row r="821">
          <cell r="F821" t="str">
            <v>223.81.152.128(山东-青岛)</v>
          </cell>
        </row>
        <row r="821">
          <cell r="M821" t="str">
            <v>男</v>
          </cell>
        </row>
        <row r="822">
          <cell r="F822" t="str">
            <v>223.104.206.207(陕西-宝鸡)</v>
          </cell>
        </row>
        <row r="822">
          <cell r="M822" t="str">
            <v>男</v>
          </cell>
        </row>
        <row r="823">
          <cell r="F823" t="str">
            <v>111.55.150.80(四川-成都)</v>
          </cell>
        </row>
        <row r="823">
          <cell r="M823" t="str">
            <v>男</v>
          </cell>
        </row>
        <row r="824">
          <cell r="F824" t="str">
            <v>14.212.26.146(广东-佛山)</v>
          </cell>
        </row>
        <row r="824">
          <cell r="M824" t="str">
            <v>男</v>
          </cell>
        </row>
        <row r="825">
          <cell r="F825" t="str">
            <v>112.231.45.142(山东-济南)</v>
          </cell>
        </row>
        <row r="825">
          <cell r="M825" t="str">
            <v>女</v>
          </cell>
        </row>
        <row r="826">
          <cell r="F826" t="str">
            <v>171.93.95.90(四川-宜宾)</v>
          </cell>
        </row>
        <row r="826">
          <cell r="M826" t="str">
            <v>女</v>
          </cell>
        </row>
        <row r="827">
          <cell r="F827" t="str">
            <v>122.193.66.239(江苏-苏州)</v>
          </cell>
        </row>
        <row r="827">
          <cell r="M827" t="str">
            <v>男</v>
          </cell>
        </row>
        <row r="828">
          <cell r="F828" t="str">
            <v>117.129.43.64(北京-北京)</v>
          </cell>
        </row>
        <row r="828">
          <cell r="M828" t="str">
            <v>男</v>
          </cell>
        </row>
        <row r="829">
          <cell r="F829" t="str">
            <v>114.234.95.47(江苏-徐州)</v>
          </cell>
        </row>
        <row r="829">
          <cell r="M829" t="str">
            <v>男</v>
          </cell>
        </row>
        <row r="830">
          <cell r="F830" t="str">
            <v>223.104.54.141(福建-福州)</v>
          </cell>
        </row>
        <row r="830">
          <cell r="M830" t="str">
            <v>男</v>
          </cell>
        </row>
        <row r="831">
          <cell r="F831" t="str">
            <v>120.32.128.48(福建-厦门)</v>
          </cell>
        </row>
        <row r="831">
          <cell r="M831" t="str">
            <v>男</v>
          </cell>
        </row>
        <row r="832">
          <cell r="F832" t="str">
            <v>117.174.12.62(四川-成都)</v>
          </cell>
        </row>
        <row r="832">
          <cell r="M832" t="str">
            <v>男</v>
          </cell>
        </row>
        <row r="833">
          <cell r="F833" t="str">
            <v>36.142.191.208(甘肃-金昌)</v>
          </cell>
        </row>
        <row r="833">
          <cell r="M833" t="str">
            <v>男</v>
          </cell>
        </row>
        <row r="834">
          <cell r="F834" t="str">
            <v>182.204.148.203(辽宁-盘锦)</v>
          </cell>
        </row>
        <row r="834">
          <cell r="M834" t="str">
            <v>女</v>
          </cell>
        </row>
        <row r="835">
          <cell r="F835" t="str">
            <v>36.21.74.223(浙江-杭州)</v>
          </cell>
        </row>
        <row r="835">
          <cell r="M835" t="str">
            <v>男</v>
          </cell>
        </row>
        <row r="836">
          <cell r="F836" t="str">
            <v>117.177.168.150(四川-广元)</v>
          </cell>
        </row>
        <row r="836">
          <cell r="M836" t="str">
            <v>男</v>
          </cell>
        </row>
        <row r="837">
          <cell r="F837" t="str">
            <v>27.148.108.205(福建-福州)</v>
          </cell>
        </row>
        <row r="837">
          <cell r="M837" t="str">
            <v>男</v>
          </cell>
        </row>
        <row r="838">
          <cell r="F838" t="str">
            <v>119.189.6.60(山东-聊城)</v>
          </cell>
        </row>
        <row r="838">
          <cell r="M838" t="str">
            <v>男</v>
          </cell>
        </row>
        <row r="839">
          <cell r="F839" t="str">
            <v>42.91.138.103(甘肃-兰州)</v>
          </cell>
        </row>
        <row r="839">
          <cell r="M839" t="str">
            <v>女</v>
          </cell>
        </row>
        <row r="840">
          <cell r="F840" t="str">
            <v>183.213.211.82(江苏-镇江)</v>
          </cell>
        </row>
        <row r="840">
          <cell r="M840" t="str">
            <v>男</v>
          </cell>
        </row>
        <row r="841">
          <cell r="F841" t="str">
            <v>223.104.249.36(重庆-重庆)</v>
          </cell>
        </row>
        <row r="841">
          <cell r="M841" t="str">
            <v>男</v>
          </cell>
        </row>
        <row r="842">
          <cell r="F842" t="str">
            <v>124.224.48.71(宁夏-银川)</v>
          </cell>
        </row>
        <row r="842">
          <cell r="M842" t="str">
            <v>女</v>
          </cell>
        </row>
        <row r="843">
          <cell r="F843" t="str">
            <v>39.144.224.47(重庆-重庆)</v>
          </cell>
        </row>
        <row r="843">
          <cell r="M843" t="str">
            <v>男</v>
          </cell>
        </row>
        <row r="844">
          <cell r="F844" t="str">
            <v>27.150.109.236(福建-宁德)</v>
          </cell>
        </row>
        <row r="844">
          <cell r="M844" t="str">
            <v>男</v>
          </cell>
        </row>
        <row r="845">
          <cell r="F845" t="str">
            <v>1.28.103.225(内蒙古-呼和浩特)</v>
          </cell>
        </row>
        <row r="845">
          <cell r="M845" t="str">
            <v>男</v>
          </cell>
        </row>
        <row r="846">
          <cell r="F846" t="str">
            <v>117.136.106.11(河南-信阳)</v>
          </cell>
        </row>
        <row r="846">
          <cell r="M846" t="str">
            <v>女</v>
          </cell>
        </row>
        <row r="847">
          <cell r="F847" t="str">
            <v>39.144.233.97(安徽-滁州)</v>
          </cell>
        </row>
        <row r="847">
          <cell r="M847" t="str">
            <v>女</v>
          </cell>
        </row>
        <row r="848">
          <cell r="F848" t="str">
            <v>42.234.29.225(河南-焦作)</v>
          </cell>
        </row>
        <row r="848">
          <cell r="M848" t="str">
            <v>男</v>
          </cell>
        </row>
        <row r="849">
          <cell r="F849" t="str">
            <v>111.183.147.148(湖北-武汉)</v>
          </cell>
        </row>
        <row r="849">
          <cell r="M849" t="str">
            <v>男</v>
          </cell>
        </row>
        <row r="850">
          <cell r="F850" t="str">
            <v>112.17.235.159(浙江-温州)</v>
          </cell>
        </row>
        <row r="850">
          <cell r="M850" t="str">
            <v>男</v>
          </cell>
        </row>
        <row r="851">
          <cell r="F851" t="str">
            <v>183.227.212.207(重庆-重庆)</v>
          </cell>
        </row>
        <row r="851">
          <cell r="M851" t="str">
            <v>男</v>
          </cell>
        </row>
        <row r="852">
          <cell r="F852" t="str">
            <v>211.90.235.133(浙江-杭州)</v>
          </cell>
        </row>
        <row r="852">
          <cell r="M852" t="str">
            <v>男</v>
          </cell>
        </row>
        <row r="853">
          <cell r="F853" t="str">
            <v>36.142.160.33(甘肃-庆阳)</v>
          </cell>
        </row>
        <row r="853">
          <cell r="M853" t="str">
            <v>男</v>
          </cell>
        </row>
        <row r="854">
          <cell r="F854" t="str">
            <v>39.90.185.176(山东-枣庄)</v>
          </cell>
        </row>
        <row r="854">
          <cell r="M854" t="str">
            <v>男</v>
          </cell>
        </row>
        <row r="855">
          <cell r="F855" t="str">
            <v>39.90.185.176(山东-枣庄)</v>
          </cell>
        </row>
        <row r="855">
          <cell r="M855" t="str">
            <v>男</v>
          </cell>
        </row>
        <row r="856">
          <cell r="F856" t="str">
            <v>171.223.112.183(四川-成都)</v>
          </cell>
        </row>
        <row r="856">
          <cell r="M856" t="str">
            <v>男</v>
          </cell>
        </row>
        <row r="857">
          <cell r="F857" t="str">
            <v>223.104.80.41(广东-广州)</v>
          </cell>
        </row>
        <row r="857">
          <cell r="M857" t="str">
            <v>女</v>
          </cell>
        </row>
        <row r="858">
          <cell r="F858" t="str">
            <v>183.213.194.35(江苏-镇江)</v>
          </cell>
        </row>
        <row r="858">
          <cell r="M858" t="str">
            <v>男</v>
          </cell>
        </row>
        <row r="859">
          <cell r="F859" t="str">
            <v>117.136.22.179(河南-开封)</v>
          </cell>
        </row>
        <row r="859">
          <cell r="M859" t="str">
            <v>男</v>
          </cell>
        </row>
        <row r="860">
          <cell r="F860" t="str">
            <v>116.169.0.157(四川-成都)</v>
          </cell>
        </row>
        <row r="860">
          <cell r="M860" t="str">
            <v>男</v>
          </cell>
        </row>
        <row r="861">
          <cell r="F861" t="str">
            <v>222.137.30.56(河南-郑州)</v>
          </cell>
        </row>
        <row r="861">
          <cell r="M861" t="str">
            <v>女</v>
          </cell>
        </row>
        <row r="862">
          <cell r="F862" t="str">
            <v>117.136.110.199(江西-九江)</v>
          </cell>
        </row>
        <row r="862">
          <cell r="M862" t="str">
            <v>男</v>
          </cell>
        </row>
        <row r="863">
          <cell r="F863" t="str">
            <v>218.204.106.211(江西-赣州)</v>
          </cell>
        </row>
        <row r="863">
          <cell r="M863" t="str">
            <v>男</v>
          </cell>
        </row>
        <row r="864">
          <cell r="F864" t="str">
            <v>182.102.89.116(江西-南昌)</v>
          </cell>
        </row>
        <row r="864">
          <cell r="M864" t="str">
            <v>男</v>
          </cell>
        </row>
        <row r="865">
          <cell r="F865" t="str">
            <v>111.55.10.236(广西-柳州)</v>
          </cell>
        </row>
        <row r="865">
          <cell r="M865" t="str">
            <v>男</v>
          </cell>
        </row>
        <row r="866">
          <cell r="F866" t="str">
            <v>182.89.127.164(广西-柳州)</v>
          </cell>
        </row>
        <row r="866">
          <cell r="M866" t="str">
            <v>男</v>
          </cell>
        </row>
        <row r="867">
          <cell r="F867" t="str">
            <v>113.77.185.228(广东-东莞)</v>
          </cell>
        </row>
        <row r="867">
          <cell r="M867" t="str">
            <v>男</v>
          </cell>
        </row>
        <row r="868">
          <cell r="F868" t="str">
            <v>1.202.150.98(北京-北京)</v>
          </cell>
        </row>
        <row r="868">
          <cell r="M868" t="str">
            <v>男</v>
          </cell>
        </row>
        <row r="869">
          <cell r="F869" t="str">
            <v>171.8.158.210(河南-驻马店)</v>
          </cell>
        </row>
        <row r="869">
          <cell r="M869" t="str">
            <v>男</v>
          </cell>
        </row>
        <row r="870">
          <cell r="F870" t="str">
            <v>223.160.225.158(广东-广州)</v>
          </cell>
        </row>
        <row r="870">
          <cell r="M870" t="str">
            <v>男</v>
          </cell>
        </row>
        <row r="871">
          <cell r="F871" t="str">
            <v>124.240.27.129(广东-广州)</v>
          </cell>
        </row>
        <row r="871">
          <cell r="M871" t="str">
            <v>男</v>
          </cell>
        </row>
        <row r="872">
          <cell r="F872" t="str">
            <v>117.183.104.121(广西-柳州)</v>
          </cell>
        </row>
        <row r="872">
          <cell r="M872" t="str">
            <v>男</v>
          </cell>
        </row>
        <row r="873">
          <cell r="F873" t="str">
            <v>223.160.225.158(广东-广州)</v>
          </cell>
        </row>
        <row r="873">
          <cell r="M873" t="str">
            <v>男</v>
          </cell>
        </row>
        <row r="874">
          <cell r="F874" t="str">
            <v>183.238.39.29(广东-东莞)</v>
          </cell>
        </row>
        <row r="874">
          <cell r="M874" t="str">
            <v>男</v>
          </cell>
        </row>
        <row r="875">
          <cell r="F875" t="str">
            <v>180.141.150.87(广西-柳州)</v>
          </cell>
        </row>
        <row r="875">
          <cell r="M875" t="str">
            <v>男</v>
          </cell>
        </row>
        <row r="876">
          <cell r="F876" t="str">
            <v>117.181.28.91(广西-南宁)</v>
          </cell>
        </row>
        <row r="876">
          <cell r="M876" t="str">
            <v>男</v>
          </cell>
        </row>
        <row r="877">
          <cell r="F877" t="str">
            <v>182.239.120.166(香港-未知)</v>
          </cell>
        </row>
        <row r="877">
          <cell r="M877" t="str">
            <v>男</v>
          </cell>
        </row>
        <row r="878">
          <cell r="F878" t="str">
            <v>183.46.217.89(广东-汕头)</v>
          </cell>
        </row>
        <row r="878">
          <cell r="M878" t="str">
            <v>男</v>
          </cell>
        </row>
        <row r="879">
          <cell r="F879" t="str">
            <v>113.132.58.246(陕西-西安)</v>
          </cell>
        </row>
        <row r="879">
          <cell r="M879" t="str">
            <v>女</v>
          </cell>
        </row>
        <row r="880">
          <cell r="F880" t="str">
            <v>36.21.203.155(浙江-杭州)</v>
          </cell>
        </row>
        <row r="880">
          <cell r="M880" t="str">
            <v>男</v>
          </cell>
        </row>
        <row r="881">
          <cell r="F881" t="str">
            <v>36.21.203.155(浙江-杭州)</v>
          </cell>
        </row>
        <row r="881">
          <cell r="M881" t="str">
            <v>男</v>
          </cell>
        </row>
        <row r="882">
          <cell r="F882" t="str">
            <v>106.33.45.185(河南-郑州)</v>
          </cell>
        </row>
        <row r="882">
          <cell r="M882" t="str">
            <v>男</v>
          </cell>
        </row>
        <row r="883">
          <cell r="F883" t="str">
            <v>14.31.228.124(广东-广州)</v>
          </cell>
        </row>
        <row r="883">
          <cell r="M883" t="str">
            <v>男</v>
          </cell>
        </row>
        <row r="884">
          <cell r="F884" t="str">
            <v>113.77.102.16(广东-东莞)</v>
          </cell>
        </row>
        <row r="884">
          <cell r="M884" t="str">
            <v>男</v>
          </cell>
        </row>
        <row r="885">
          <cell r="F885" t="str">
            <v>36.7.233.234(安徽-安庆)</v>
          </cell>
        </row>
        <row r="885">
          <cell r="M885" t="str">
            <v>男</v>
          </cell>
        </row>
        <row r="886">
          <cell r="F886" t="str">
            <v>175.8.38.0(湖南-长沙)</v>
          </cell>
        </row>
        <row r="886">
          <cell r="M886" t="str">
            <v>男</v>
          </cell>
        </row>
        <row r="887">
          <cell r="F887" t="str">
            <v>112.97.184.19(广东-东莞)</v>
          </cell>
        </row>
        <row r="887">
          <cell r="M887" t="str">
            <v>男</v>
          </cell>
        </row>
        <row r="888">
          <cell r="F888" t="str">
            <v>222.223.36.58(河北-沧州)</v>
          </cell>
        </row>
        <row r="888">
          <cell r="M888" t="str">
            <v>男</v>
          </cell>
        </row>
        <row r="889">
          <cell r="F889" t="str">
            <v>222.223.36.58(河北-沧州)</v>
          </cell>
        </row>
        <row r="889">
          <cell r="M889" t="str">
            <v>男</v>
          </cell>
        </row>
        <row r="890">
          <cell r="F890" t="str">
            <v>222.223.36.58(河北-沧州)</v>
          </cell>
        </row>
        <row r="890">
          <cell r="M890" t="str">
            <v>男</v>
          </cell>
        </row>
        <row r="891">
          <cell r="F891" t="str">
            <v>42.80.106.105(天津-天津)</v>
          </cell>
        </row>
        <row r="891">
          <cell r="M891" t="str">
            <v>男</v>
          </cell>
        </row>
        <row r="892">
          <cell r="F892" t="str">
            <v>121.13.54.119(广东-东莞)</v>
          </cell>
        </row>
        <row r="892">
          <cell r="M892" t="str">
            <v>男</v>
          </cell>
        </row>
        <row r="893">
          <cell r="F893" t="str">
            <v>183.225.172.119(云南-红河)</v>
          </cell>
        </row>
        <row r="893">
          <cell r="M893" t="str">
            <v>男</v>
          </cell>
        </row>
        <row r="894">
          <cell r="F894" t="str">
            <v>171.39.87.246(广西-百色)</v>
          </cell>
        </row>
        <row r="894">
          <cell r="M894" t="str">
            <v>男</v>
          </cell>
        </row>
        <row r="895">
          <cell r="F895" t="str">
            <v>110.244.102.83(河北-沧州)</v>
          </cell>
        </row>
        <row r="895">
          <cell r="M895" t="str">
            <v>男</v>
          </cell>
        </row>
        <row r="896">
          <cell r="F896" t="str">
            <v>221.195.99.100(河北-沧州)</v>
          </cell>
        </row>
        <row r="896">
          <cell r="M896" t="str">
            <v>女</v>
          </cell>
        </row>
        <row r="897">
          <cell r="F897" t="str">
            <v>119.123.137.77(广东-深圳)</v>
          </cell>
        </row>
        <row r="897">
          <cell r="M897" t="str">
            <v>男</v>
          </cell>
        </row>
        <row r="898">
          <cell r="F898" t="str">
            <v>39.144.57.181(辽宁-锦州)</v>
          </cell>
        </row>
        <row r="898">
          <cell r="M898" t="str">
            <v>男</v>
          </cell>
        </row>
        <row r="899">
          <cell r="F899" t="str">
            <v>117.136.117.168(安徽-合肥)</v>
          </cell>
        </row>
        <row r="899">
          <cell r="M899" t="str">
            <v>男</v>
          </cell>
        </row>
        <row r="900">
          <cell r="F900" t="str">
            <v>111.39.151.75(安徽-六安)</v>
          </cell>
        </row>
        <row r="900">
          <cell r="M900" t="str">
            <v>男</v>
          </cell>
        </row>
        <row r="901">
          <cell r="F901" t="str">
            <v>171.108.197.231(广西-南宁)</v>
          </cell>
        </row>
        <row r="901">
          <cell r="M901" t="str">
            <v>女</v>
          </cell>
        </row>
        <row r="902">
          <cell r="F902" t="str">
            <v>1.206.174.175(贵州-黔南)</v>
          </cell>
        </row>
        <row r="902">
          <cell r="M902" t="str">
            <v>男</v>
          </cell>
        </row>
        <row r="903">
          <cell r="F903" t="str">
            <v>121.56.181.180(内蒙古-通辽)</v>
          </cell>
        </row>
        <row r="903">
          <cell r="M903" t="str">
            <v>男</v>
          </cell>
        </row>
        <row r="904">
          <cell r="F904" t="str">
            <v>111.16.174.29(山东-东营)</v>
          </cell>
        </row>
        <row r="904">
          <cell r="M904" t="str">
            <v>男</v>
          </cell>
        </row>
        <row r="905">
          <cell r="F905" t="str">
            <v>153.119.42.217(山东-济宁)</v>
          </cell>
        </row>
        <row r="905">
          <cell r="M905" t="str">
            <v>男</v>
          </cell>
        </row>
        <row r="906">
          <cell r="F906" t="str">
            <v>218.88.197.90(四川-自贡)</v>
          </cell>
        </row>
        <row r="906">
          <cell r="M906" t="str">
            <v>男</v>
          </cell>
        </row>
        <row r="907">
          <cell r="F907" t="str">
            <v>113.13.169.131(广西-柳州)</v>
          </cell>
        </row>
        <row r="907">
          <cell r="M907" t="str">
            <v>男</v>
          </cell>
        </row>
        <row r="908">
          <cell r="F908" t="str">
            <v>49.81.55.243(江苏-徐州)</v>
          </cell>
        </row>
        <row r="908">
          <cell r="M908" t="str">
            <v>男</v>
          </cell>
        </row>
        <row r="909">
          <cell r="F909" t="str">
            <v>223.68.125.228(江苏-镇江)</v>
          </cell>
        </row>
        <row r="909">
          <cell r="M909" t="str">
            <v>男</v>
          </cell>
        </row>
        <row r="910">
          <cell r="F910" t="str">
            <v>180.124.122.132(江苏-徐州)</v>
          </cell>
        </row>
        <row r="910">
          <cell r="M910" t="str">
            <v>女</v>
          </cell>
        </row>
        <row r="911">
          <cell r="F911" t="str">
            <v>223.78.232.164(山东-潍坊)</v>
          </cell>
        </row>
        <row r="911">
          <cell r="M911" t="str">
            <v>男</v>
          </cell>
        </row>
        <row r="912">
          <cell r="F912" t="str">
            <v>39.67.193.2(山东-临沂)</v>
          </cell>
        </row>
        <row r="912">
          <cell r="M912" t="str">
            <v>男</v>
          </cell>
        </row>
        <row r="913">
          <cell r="F913" t="str">
            <v>103.228.209.243(广西-南宁)</v>
          </cell>
        </row>
        <row r="913">
          <cell r="M913" t="str">
            <v>男</v>
          </cell>
        </row>
        <row r="914">
          <cell r="F914" t="str">
            <v>120.235.40.115(广东-佛山)</v>
          </cell>
        </row>
        <row r="914">
          <cell r="M914" t="str">
            <v>男</v>
          </cell>
        </row>
        <row r="915">
          <cell r="F915" t="str">
            <v>182.89.53.244(广西-柳州)</v>
          </cell>
        </row>
        <row r="915">
          <cell r="M915" t="str">
            <v>女</v>
          </cell>
        </row>
        <row r="916">
          <cell r="F916" t="str">
            <v>112.122.4.118(安徽-合肥)</v>
          </cell>
        </row>
        <row r="916">
          <cell r="M916" t="str">
            <v>男</v>
          </cell>
        </row>
        <row r="917">
          <cell r="F917" t="str">
            <v>175.2.56.40(湖南-娄底)</v>
          </cell>
        </row>
        <row r="917">
          <cell r="M917" t="str">
            <v>男</v>
          </cell>
        </row>
        <row r="918">
          <cell r="F918" t="str">
            <v>60.1.21.189(河北-石家庄)</v>
          </cell>
        </row>
        <row r="918">
          <cell r="M918" t="str">
            <v>男</v>
          </cell>
        </row>
        <row r="919">
          <cell r="F919" t="str">
            <v>183.223.22.49(四川-南充)</v>
          </cell>
        </row>
        <row r="919">
          <cell r="M919" t="str">
            <v>男</v>
          </cell>
        </row>
        <row r="920">
          <cell r="F920" t="str">
            <v>27.197.212.226(山东-临沂)</v>
          </cell>
        </row>
        <row r="920">
          <cell r="M920" t="str">
            <v>男</v>
          </cell>
        </row>
        <row r="921">
          <cell r="F921" t="str">
            <v>116.52.66.59(云南-昆明)</v>
          </cell>
        </row>
        <row r="921">
          <cell r="M921" t="str">
            <v>男</v>
          </cell>
        </row>
        <row r="922">
          <cell r="F922" t="str">
            <v>223.116.209.33(新疆-阿克苏)</v>
          </cell>
        </row>
        <row r="922">
          <cell r="M922" t="str">
            <v>男</v>
          </cell>
        </row>
        <row r="923">
          <cell r="F923" t="str">
            <v>61.156.117.234(山东-青岛)</v>
          </cell>
        </row>
        <row r="923">
          <cell r="M923" t="str">
            <v>男</v>
          </cell>
        </row>
        <row r="924">
          <cell r="F924" t="str">
            <v>222.244.166.193(湖南-长沙)</v>
          </cell>
        </row>
        <row r="924">
          <cell r="M924" t="str">
            <v>男</v>
          </cell>
        </row>
        <row r="925">
          <cell r="F925" t="str">
            <v>223.73.128.179(广东-东莞)</v>
          </cell>
        </row>
        <row r="925">
          <cell r="M925" t="str">
            <v>男</v>
          </cell>
        </row>
        <row r="926">
          <cell r="F926" t="str">
            <v>112.232.247.59(山东-济南)</v>
          </cell>
        </row>
        <row r="926">
          <cell r="M926" t="str">
            <v>男</v>
          </cell>
        </row>
        <row r="927">
          <cell r="F927" t="str">
            <v>115.199.240.223(浙江-杭州)</v>
          </cell>
        </row>
        <row r="927">
          <cell r="M927" t="str">
            <v>男</v>
          </cell>
        </row>
        <row r="928">
          <cell r="F928" t="str">
            <v>223.104.234.25(新疆-阿克苏)</v>
          </cell>
        </row>
        <row r="928">
          <cell r="M928" t="str">
            <v>男</v>
          </cell>
        </row>
        <row r="929">
          <cell r="F929" t="str">
            <v>112.18.236.21(四川-眉山)</v>
          </cell>
        </row>
        <row r="929">
          <cell r="M929" t="str">
            <v>女</v>
          </cell>
        </row>
        <row r="930">
          <cell r="F930" t="str">
            <v>124.118.193.48(新疆-阿克苏)</v>
          </cell>
        </row>
        <row r="930">
          <cell r="M930" t="str">
            <v>男</v>
          </cell>
        </row>
        <row r="931">
          <cell r="F931" t="str">
            <v>39.66.241.156(山东-滨州)</v>
          </cell>
        </row>
        <row r="931">
          <cell r="M931" t="str">
            <v>女</v>
          </cell>
        </row>
        <row r="932">
          <cell r="F932" t="str">
            <v>116.11.205.224(广西-防城港)</v>
          </cell>
        </row>
        <row r="932">
          <cell r="M932" t="str">
            <v>男</v>
          </cell>
        </row>
        <row r="933">
          <cell r="F933" t="str">
            <v>111.55.11.230(广西-桂林)</v>
          </cell>
        </row>
        <row r="933">
          <cell r="M933" t="str">
            <v>男</v>
          </cell>
        </row>
        <row r="934">
          <cell r="F934" t="str">
            <v>39.144.109.115(山东-聊城)</v>
          </cell>
        </row>
        <row r="934">
          <cell r="M934" t="str">
            <v>男</v>
          </cell>
        </row>
        <row r="935">
          <cell r="F935" t="str">
            <v>182.115.225.211(河南-济源)</v>
          </cell>
        </row>
        <row r="935">
          <cell r="M935" t="str">
            <v>男</v>
          </cell>
        </row>
        <row r="936">
          <cell r="F936" t="str">
            <v>49.93.199.60(江苏-南京)</v>
          </cell>
        </row>
        <row r="936">
          <cell r="M936" t="str">
            <v>男</v>
          </cell>
        </row>
        <row r="937">
          <cell r="F937" t="str">
            <v>39.68.67.197(山东-济宁)</v>
          </cell>
        </row>
        <row r="937">
          <cell r="M937" t="str">
            <v>男</v>
          </cell>
        </row>
        <row r="938">
          <cell r="F938" t="str">
            <v>117.70.175.96(安徽-合肥)</v>
          </cell>
        </row>
        <row r="938">
          <cell r="M938" t="str">
            <v>男</v>
          </cell>
        </row>
        <row r="939">
          <cell r="F939" t="str">
            <v>112.113.170.141(云南-保山)</v>
          </cell>
        </row>
        <row r="939">
          <cell r="M939" t="str">
            <v>男</v>
          </cell>
        </row>
        <row r="940">
          <cell r="F940" t="str">
            <v>112.97.184.236(广东-东莞)</v>
          </cell>
        </row>
        <row r="940">
          <cell r="M940" t="str">
            <v>男</v>
          </cell>
        </row>
        <row r="941">
          <cell r="F941" t="str">
            <v>111.55.210.149(广东-广州)</v>
          </cell>
        </row>
        <row r="941">
          <cell r="M941" t="str">
            <v>男</v>
          </cell>
        </row>
        <row r="942">
          <cell r="F942" t="str">
            <v>175.2.78.173(湖南-娄底)</v>
          </cell>
        </row>
        <row r="942">
          <cell r="M942" t="str">
            <v>男</v>
          </cell>
        </row>
        <row r="943">
          <cell r="F943" t="str">
            <v>111.55.103.152(湖南-郴州)</v>
          </cell>
        </row>
        <row r="943">
          <cell r="M943" t="str">
            <v>男</v>
          </cell>
        </row>
        <row r="944">
          <cell r="F944" t="str">
            <v>171.11.148.28(河南-洛阳)</v>
          </cell>
        </row>
        <row r="944">
          <cell r="M944" t="str">
            <v>男</v>
          </cell>
        </row>
        <row r="945">
          <cell r="F945" t="str">
            <v>171.11.148.28(河南-洛阳)</v>
          </cell>
        </row>
        <row r="945">
          <cell r="M945" t="str">
            <v>男</v>
          </cell>
        </row>
        <row r="946">
          <cell r="F946" t="str">
            <v>171.208.55.19(四川-巴中)</v>
          </cell>
        </row>
        <row r="946">
          <cell r="M946" t="str">
            <v>男</v>
          </cell>
        </row>
        <row r="947">
          <cell r="F947" t="str">
            <v>111.55.210.253(广东-广州)</v>
          </cell>
        </row>
        <row r="947">
          <cell r="M947" t="str">
            <v>男</v>
          </cell>
        </row>
        <row r="948">
          <cell r="F948" t="str">
            <v>112.224.230.139(山东-济南)</v>
          </cell>
        </row>
        <row r="948">
          <cell r="M948" t="str">
            <v>男</v>
          </cell>
        </row>
        <row r="949">
          <cell r="F949" t="str">
            <v>223.149.46.189(湖南-怀化)</v>
          </cell>
        </row>
        <row r="949">
          <cell r="M949" t="str">
            <v>男</v>
          </cell>
        </row>
        <row r="950">
          <cell r="F950" t="str">
            <v>124.88.2.29(新疆-乌鲁木齐)</v>
          </cell>
        </row>
        <row r="950">
          <cell r="M950" t="str">
            <v>男</v>
          </cell>
        </row>
        <row r="951">
          <cell r="F951" t="str">
            <v>117.33.121.57(陕西-西安)</v>
          </cell>
        </row>
        <row r="951">
          <cell r="M951" t="str">
            <v>男</v>
          </cell>
        </row>
        <row r="952">
          <cell r="F952" t="str">
            <v>117.33.121.57(陕西-西安)</v>
          </cell>
        </row>
        <row r="952">
          <cell r="M952" t="str">
            <v>男</v>
          </cell>
        </row>
        <row r="953">
          <cell r="F953" t="str">
            <v>222.187.70.146(江苏-徐州)</v>
          </cell>
        </row>
        <row r="953">
          <cell r="M953" t="str">
            <v>男</v>
          </cell>
        </row>
        <row r="954">
          <cell r="F954" t="str">
            <v>112.16.5.132(浙江-温州)</v>
          </cell>
        </row>
        <row r="954">
          <cell r="M954" t="str">
            <v>男</v>
          </cell>
        </row>
        <row r="955">
          <cell r="F955" t="str">
            <v>222.187.70.146(江苏-徐州)</v>
          </cell>
        </row>
        <row r="955">
          <cell r="M955" t="str">
            <v>男</v>
          </cell>
        </row>
        <row r="956">
          <cell r="F956" t="str">
            <v>120.242.182.175(安徽-宿州)</v>
          </cell>
        </row>
        <row r="956">
          <cell r="M956" t="str">
            <v>男</v>
          </cell>
        </row>
        <row r="957">
          <cell r="F957" t="str">
            <v>1.198.18.179(河南-郑州)</v>
          </cell>
        </row>
        <row r="957">
          <cell r="M957" t="str">
            <v>男</v>
          </cell>
        </row>
        <row r="958">
          <cell r="F958" t="str">
            <v>116.169.10.14(四川-成都)</v>
          </cell>
        </row>
        <row r="958">
          <cell r="M958" t="str">
            <v>男</v>
          </cell>
        </row>
        <row r="959">
          <cell r="F959" t="str">
            <v>223.104.41.82(北京-北京)</v>
          </cell>
        </row>
        <row r="959">
          <cell r="M959" t="str">
            <v>男</v>
          </cell>
        </row>
        <row r="960">
          <cell r="F960" t="str">
            <v>39.144.155.242(江苏-南通)</v>
          </cell>
        </row>
        <row r="960">
          <cell r="M960" t="str">
            <v>男</v>
          </cell>
        </row>
        <row r="961">
          <cell r="F961" t="str">
            <v>113.13.100.194(广西-柳州)</v>
          </cell>
        </row>
        <row r="961">
          <cell r="M961" t="str">
            <v>男</v>
          </cell>
        </row>
        <row r="962">
          <cell r="F962" t="str">
            <v>116.253.122.174(广西-柳州)</v>
          </cell>
        </row>
        <row r="962">
          <cell r="M962" t="str">
            <v>女</v>
          </cell>
        </row>
        <row r="963">
          <cell r="F963" t="str">
            <v>36.61.47.140(安徽-合肥)</v>
          </cell>
        </row>
        <row r="963">
          <cell r="M963" t="str">
            <v>男</v>
          </cell>
        </row>
        <row r="964">
          <cell r="F964" t="str">
            <v>223.104.107.172(河南-郑州)</v>
          </cell>
        </row>
        <row r="964">
          <cell r="M964" t="str">
            <v>男</v>
          </cell>
        </row>
        <row r="965">
          <cell r="F965" t="str">
            <v>43.250.245.171(广西-南宁)</v>
          </cell>
        </row>
        <row r="965">
          <cell r="M965" t="str">
            <v>男</v>
          </cell>
        </row>
        <row r="966">
          <cell r="F966" t="str">
            <v>36.40.129.143(陕西-西安)</v>
          </cell>
        </row>
        <row r="966">
          <cell r="M966" t="str">
            <v>男</v>
          </cell>
        </row>
        <row r="967">
          <cell r="F967" t="str">
            <v>115.239.188.14(浙江-绍兴)</v>
          </cell>
        </row>
        <row r="967">
          <cell r="M967" t="str">
            <v>男</v>
          </cell>
        </row>
        <row r="968">
          <cell r="F968" t="str">
            <v>120.219.136.134(河南-许昌)</v>
          </cell>
        </row>
        <row r="968">
          <cell r="M968" t="str">
            <v>男</v>
          </cell>
        </row>
        <row r="969">
          <cell r="F969" t="str">
            <v>116.147.251.13(江苏-淮安)</v>
          </cell>
        </row>
        <row r="969">
          <cell r="M969" t="str">
            <v>男</v>
          </cell>
        </row>
        <row r="970">
          <cell r="F970" t="str">
            <v>112.252.27.250(山东-滨州)</v>
          </cell>
        </row>
        <row r="970">
          <cell r="M970" t="str">
            <v>男</v>
          </cell>
        </row>
        <row r="971">
          <cell r="F971" t="str">
            <v>117.135.93.178(上海-上海)</v>
          </cell>
        </row>
        <row r="971">
          <cell r="M971" t="str">
            <v>男</v>
          </cell>
        </row>
        <row r="972">
          <cell r="F972" t="str">
            <v>124.114.131.222(陕西-西安)</v>
          </cell>
        </row>
        <row r="972">
          <cell r="M972" t="str">
            <v>男</v>
          </cell>
        </row>
        <row r="973">
          <cell r="F973" t="str">
            <v>124.114.131.222(陕西-西安)</v>
          </cell>
        </row>
        <row r="973">
          <cell r="M973" t="str">
            <v>男</v>
          </cell>
        </row>
        <row r="974">
          <cell r="F974" t="str">
            <v>117.140.56.66(广西-柳州)</v>
          </cell>
        </row>
        <row r="974">
          <cell r="M974" t="str">
            <v>男</v>
          </cell>
        </row>
        <row r="975">
          <cell r="F975" t="str">
            <v>116.162.231.70(湖南-衡阳)</v>
          </cell>
        </row>
        <row r="975">
          <cell r="M975" t="str">
            <v>男</v>
          </cell>
        </row>
        <row r="976">
          <cell r="F976" t="str">
            <v>223.104.227.206(天津-天津)</v>
          </cell>
        </row>
        <row r="976">
          <cell r="M976" t="str">
            <v>女</v>
          </cell>
        </row>
        <row r="977">
          <cell r="F977" t="str">
            <v>59.45.220.238(辽宁-辽阳)</v>
          </cell>
        </row>
        <row r="977">
          <cell r="M977" t="str">
            <v>男</v>
          </cell>
        </row>
        <row r="978">
          <cell r="F978" t="str">
            <v>111.166.30.128(天津-天津)</v>
          </cell>
        </row>
        <row r="978">
          <cell r="M978" t="str">
            <v>男</v>
          </cell>
        </row>
        <row r="979">
          <cell r="F979" t="str">
            <v>42.80.123.85(天津-天津)</v>
          </cell>
        </row>
        <row r="979">
          <cell r="M979" t="str">
            <v>女</v>
          </cell>
        </row>
        <row r="980">
          <cell r="F980" t="str">
            <v>175.147.52.87(辽宁-鞍山)</v>
          </cell>
        </row>
        <row r="980">
          <cell r="M980" t="str">
            <v>女</v>
          </cell>
        </row>
        <row r="981">
          <cell r="F981" t="str">
            <v>61.242.129.172(湖北-武汉)</v>
          </cell>
        </row>
        <row r="981">
          <cell r="M981" t="str">
            <v>男</v>
          </cell>
        </row>
        <row r="982">
          <cell r="F982" t="str">
            <v>221.197.234.217(天津-天津)</v>
          </cell>
        </row>
        <row r="982">
          <cell r="M982" t="str">
            <v>男</v>
          </cell>
        </row>
        <row r="983">
          <cell r="F983" t="str">
            <v>60.174.86.148(安徽-亳州)</v>
          </cell>
        </row>
        <row r="983">
          <cell r="M983" t="str">
            <v>男</v>
          </cell>
        </row>
        <row r="984">
          <cell r="F984" t="str">
            <v>111.55.13.85(广西-南宁)</v>
          </cell>
        </row>
        <row r="984">
          <cell r="M984" t="str">
            <v>男</v>
          </cell>
        </row>
        <row r="985">
          <cell r="F985" t="str">
            <v>171.210.228.158(四川-成都)</v>
          </cell>
        </row>
        <row r="985">
          <cell r="M985" t="str">
            <v>男</v>
          </cell>
        </row>
        <row r="986">
          <cell r="F986" t="str">
            <v>36.59.177.84(安徽-六安)</v>
          </cell>
        </row>
        <row r="986">
          <cell r="M986" t="str">
            <v>男</v>
          </cell>
        </row>
        <row r="987">
          <cell r="F987" t="str">
            <v>119.39.153.4(湖南-邵阳)</v>
          </cell>
        </row>
        <row r="987">
          <cell r="M987" t="str">
            <v>男</v>
          </cell>
        </row>
        <row r="988">
          <cell r="F988" t="str">
            <v>27.154.132.171(福建-厦门)</v>
          </cell>
        </row>
        <row r="988">
          <cell r="M988" t="str">
            <v>男</v>
          </cell>
        </row>
        <row r="989">
          <cell r="F989" t="str">
            <v>124.226.164.199(广西-梧州)</v>
          </cell>
        </row>
        <row r="989">
          <cell r="M989" t="str">
            <v>男</v>
          </cell>
        </row>
        <row r="990">
          <cell r="F990" t="str">
            <v>118.250.159.142(湖南-长沙)</v>
          </cell>
        </row>
        <row r="990">
          <cell r="M990" t="str">
            <v>男</v>
          </cell>
        </row>
        <row r="991">
          <cell r="F991" t="str">
            <v>124.226.164.199(广西-梧州)</v>
          </cell>
        </row>
        <row r="991">
          <cell r="M991" t="str">
            <v>男</v>
          </cell>
        </row>
        <row r="992">
          <cell r="F992" t="str">
            <v>223.104.150.18(江苏-南京)</v>
          </cell>
        </row>
        <row r="992">
          <cell r="M992" t="str">
            <v>男</v>
          </cell>
        </row>
        <row r="993">
          <cell r="F993" t="str">
            <v>111.55.19.221(河南-郑州)</v>
          </cell>
        </row>
        <row r="993">
          <cell r="M993" t="str">
            <v>男</v>
          </cell>
        </row>
        <row r="994">
          <cell r="F994" t="str">
            <v>223.65.80.238(江苏-南京)</v>
          </cell>
        </row>
        <row r="994">
          <cell r="M994" t="str">
            <v>男</v>
          </cell>
        </row>
        <row r="995">
          <cell r="F995" t="str">
            <v>58.19.26.136(湖北-武汉)</v>
          </cell>
        </row>
        <row r="995">
          <cell r="M995" t="str">
            <v>男</v>
          </cell>
        </row>
        <row r="996">
          <cell r="F996" t="str">
            <v>112.38.50.206(山东-聊城)</v>
          </cell>
        </row>
        <row r="996">
          <cell r="M996" t="str">
            <v>男</v>
          </cell>
        </row>
        <row r="997">
          <cell r="F997" t="str">
            <v>36.28.197.209(浙江-嘉兴)</v>
          </cell>
        </row>
        <row r="997">
          <cell r="M997" t="str">
            <v>男</v>
          </cell>
        </row>
        <row r="998">
          <cell r="F998" t="str">
            <v>111.29.86.51(海南-三亚)</v>
          </cell>
        </row>
        <row r="998">
          <cell r="M998" t="str">
            <v>男</v>
          </cell>
        </row>
        <row r="999">
          <cell r="F999" t="str">
            <v>112.47.198.227(福建-泉州)</v>
          </cell>
        </row>
        <row r="999">
          <cell r="M999" t="str">
            <v>男</v>
          </cell>
        </row>
        <row r="1000">
          <cell r="F1000" t="str">
            <v>36.42.22.83(陕西-咸阳)</v>
          </cell>
        </row>
        <row r="1000">
          <cell r="M1000" t="str">
            <v>男</v>
          </cell>
        </row>
        <row r="1001">
          <cell r="F1001" t="str">
            <v>49.88.74.206(江苏-连云港)</v>
          </cell>
        </row>
        <row r="1001">
          <cell r="M1001" t="str">
            <v>男</v>
          </cell>
        </row>
        <row r="1002">
          <cell r="F1002" t="str">
            <v>218.12.16.135(河北-石家庄)</v>
          </cell>
        </row>
        <row r="1002">
          <cell r="M1002" t="str">
            <v>男</v>
          </cell>
        </row>
        <row r="1003">
          <cell r="F1003" t="str">
            <v>223.104.146.146(江苏-扬州)</v>
          </cell>
        </row>
        <row r="1003">
          <cell r="M1003" t="str">
            <v>男</v>
          </cell>
        </row>
        <row r="1004">
          <cell r="F1004" t="str">
            <v>218.26.158.127(山西-太原)</v>
          </cell>
        </row>
        <row r="1004">
          <cell r="M1004" t="str">
            <v>女</v>
          </cell>
        </row>
        <row r="1005">
          <cell r="F1005" t="str">
            <v>110.167.76.55(青海-海北)</v>
          </cell>
        </row>
        <row r="1005">
          <cell r="M1005" t="str">
            <v>女</v>
          </cell>
        </row>
        <row r="1006">
          <cell r="F1006" t="str">
            <v>39.76.55.45(山东-临沂)</v>
          </cell>
        </row>
        <row r="1006">
          <cell r="M1006" t="str">
            <v>男</v>
          </cell>
        </row>
        <row r="1007">
          <cell r="F1007" t="str">
            <v>223.87.95.108(四川-南充)</v>
          </cell>
        </row>
        <row r="1007">
          <cell r="M1007" t="str">
            <v>男</v>
          </cell>
        </row>
        <row r="1008">
          <cell r="F1008" t="str">
            <v>117.29.108.122(福建-福州)</v>
          </cell>
        </row>
        <row r="1008">
          <cell r="M1008" t="str">
            <v>男</v>
          </cell>
        </row>
        <row r="1009">
          <cell r="F1009" t="str">
            <v>113.195.86.114(江西-赣州)</v>
          </cell>
        </row>
        <row r="1009">
          <cell r="M1009" t="str">
            <v>男</v>
          </cell>
        </row>
        <row r="1010">
          <cell r="F1010" t="str">
            <v>39.144.169.17(江西-景德镇)</v>
          </cell>
        </row>
        <row r="1010">
          <cell r="M1010" t="str">
            <v>男</v>
          </cell>
        </row>
        <row r="1011">
          <cell r="F1011" t="str">
            <v>39.144.169.166(江西-景德镇)</v>
          </cell>
        </row>
        <row r="1011">
          <cell r="M1011" t="str">
            <v>男</v>
          </cell>
        </row>
        <row r="1012">
          <cell r="F1012" t="str">
            <v>60.27.158.241(天津-天津)</v>
          </cell>
        </row>
        <row r="1012">
          <cell r="M1012" t="str">
            <v>男</v>
          </cell>
        </row>
        <row r="1013">
          <cell r="F1013" t="str">
            <v>111.33.220.229(天津-天津)</v>
          </cell>
        </row>
        <row r="1013">
          <cell r="M1013" t="str">
            <v>男</v>
          </cell>
        </row>
        <row r="1014">
          <cell r="F1014" t="str">
            <v>60.255.203.82(四川-南充)</v>
          </cell>
        </row>
        <row r="1014">
          <cell r="M1014" t="str">
            <v>男</v>
          </cell>
        </row>
        <row r="1015">
          <cell r="F1015" t="str">
            <v>113.127.85.198(山东-济南)</v>
          </cell>
        </row>
        <row r="1015">
          <cell r="M1015" t="str">
            <v>男</v>
          </cell>
        </row>
        <row r="1016">
          <cell r="F1016" t="str">
            <v>144.12.246.220(山东-济南)</v>
          </cell>
        </row>
        <row r="1016">
          <cell r="M1016" t="str">
            <v>男</v>
          </cell>
        </row>
        <row r="1017">
          <cell r="F1017" t="str">
            <v>112.32.55.89(安徽-合肥)</v>
          </cell>
        </row>
        <row r="1017">
          <cell r="M1017" t="str">
            <v>男</v>
          </cell>
        </row>
        <row r="1018">
          <cell r="F1018" t="str">
            <v>223.104.54.230(福建-福州)</v>
          </cell>
        </row>
        <row r="1018">
          <cell r="M1018" t="str">
            <v>男</v>
          </cell>
        </row>
        <row r="1019">
          <cell r="F1019" t="str">
            <v>49.88.98.214(江苏-连云港)</v>
          </cell>
        </row>
        <row r="1019">
          <cell r="M1019" t="str">
            <v>男</v>
          </cell>
        </row>
        <row r="1020">
          <cell r="F1020" t="str">
            <v>180.139.206.215(广西-南宁)</v>
          </cell>
        </row>
        <row r="1020">
          <cell r="M1020" t="str">
            <v>女</v>
          </cell>
        </row>
        <row r="1021">
          <cell r="F1021" t="str">
            <v>14.150.104.27(广东-佛山)</v>
          </cell>
        </row>
        <row r="1021">
          <cell r="M1021" t="str">
            <v>男</v>
          </cell>
        </row>
        <row r="1022">
          <cell r="F1022" t="str">
            <v>60.189.213.236(浙江-台州)</v>
          </cell>
        </row>
        <row r="1022">
          <cell r="M1022" t="str">
            <v>男</v>
          </cell>
        </row>
        <row r="1023">
          <cell r="F1023" t="str">
            <v>223.153.237.2(湖南-株洲)</v>
          </cell>
        </row>
        <row r="1023">
          <cell r="M1023" t="str">
            <v>男</v>
          </cell>
        </row>
        <row r="1024">
          <cell r="F1024" t="str">
            <v>39.144.108.45(山东-枣庄)</v>
          </cell>
        </row>
        <row r="1024">
          <cell r="M1024" t="str">
            <v>男</v>
          </cell>
        </row>
        <row r="1025">
          <cell r="F1025" t="str">
            <v>120.69.35.120(新疆-昌吉)</v>
          </cell>
        </row>
        <row r="1025">
          <cell r="M1025" t="str">
            <v>男</v>
          </cell>
        </row>
        <row r="1026">
          <cell r="F1026" t="str">
            <v>39.149.184.3(河南-平顶山)</v>
          </cell>
        </row>
        <row r="1026">
          <cell r="M1026" t="str">
            <v>女</v>
          </cell>
        </row>
        <row r="1027">
          <cell r="F1027" t="str">
            <v>39.149.184.3(河南-平顶山)</v>
          </cell>
        </row>
        <row r="1027">
          <cell r="M1027" t="str">
            <v>女</v>
          </cell>
        </row>
        <row r="1028">
          <cell r="F1028" t="str">
            <v>59.58.136.243(福建-莆田)</v>
          </cell>
        </row>
        <row r="1028">
          <cell r="M1028" t="str">
            <v>男</v>
          </cell>
        </row>
        <row r="1029">
          <cell r="F1029" t="str">
            <v>223.66.157.243(江苏-徐州)</v>
          </cell>
        </row>
        <row r="1029">
          <cell r="M1029" t="str">
            <v>女</v>
          </cell>
        </row>
        <row r="1030">
          <cell r="F1030" t="str">
            <v>113.91.140.11(广东-深圳)</v>
          </cell>
        </row>
        <row r="1030">
          <cell r="M1030" t="str">
            <v>男</v>
          </cell>
        </row>
        <row r="1031">
          <cell r="F1031" t="str">
            <v>171.34.224.24(江西-南昌)</v>
          </cell>
        </row>
        <row r="1031">
          <cell r="M1031" t="str">
            <v>男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1"/>
  <sheetViews>
    <sheetView tabSelected="1" workbookViewId="0">
      <selection activeCell="K12" sqref="K12"/>
    </sheetView>
  </sheetViews>
  <sheetFormatPr defaultColWidth="9.02654867256637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tr">
        <f>[1]Sheet1!M2</f>
        <v>男</v>
      </c>
      <c r="C2" s="3" t="str" cm="1">
        <f t="array" ref="C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" s="2" t="str">
        <f>MID([1]Sheet1!F2,FIND("(",[1]Sheet1!F2)+1,FIND("-",[1]Sheet1!F2)-FIND("(",[1]Sheet1!F2)-1)</f>
        <v>青海</v>
      </c>
      <c r="E2" s="2" t="str">
        <f>MID([1]Sheet1!F2,FIND("-",[1]Sheet1!F2)+1,FIND(")",[1]Sheet1!F2)-FIND("-",[1]Sheet1!F2)-1)</f>
        <v>西宁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>
      <c r="A3" s="2" t="s">
        <v>30</v>
      </c>
      <c r="B3" s="2" t="str">
        <f>[1]Sheet1!M3</f>
        <v>男</v>
      </c>
      <c r="C3" s="3" t="str" cm="1">
        <f t="array" ref="C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" s="2" t="str">
        <f>MID([1]Sheet1!F3,FIND("(",[1]Sheet1!F3)+1,FIND("-",[1]Sheet1!F3)-FIND("(",[1]Sheet1!F3)-1)</f>
        <v>浙江</v>
      </c>
      <c r="E3" s="2" t="str">
        <f>MID([1]Sheet1!F3,FIND("-",[1]Sheet1!F3)+1,FIND(")",[1]Sheet1!F3)-FIND("-",[1]Sheet1!F3)-1)</f>
        <v>绍兴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23</v>
      </c>
      <c r="L3" s="2" t="s">
        <v>24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</row>
    <row r="4" spans="1:17">
      <c r="A4" s="2" t="s">
        <v>41</v>
      </c>
      <c r="B4" s="2" t="str">
        <f>[1]Sheet1!M4</f>
        <v>男</v>
      </c>
      <c r="C4" s="3" t="str" cm="1">
        <f t="array" ref="C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" s="2" t="str">
        <f>MID([1]Sheet1!F4,FIND("(",[1]Sheet1!F4)+1,FIND("-",[1]Sheet1!F4)-FIND("(",[1]Sheet1!F4)-1)</f>
        <v>浙江</v>
      </c>
      <c r="E4" s="2" t="str">
        <f>MID([1]Sheet1!F4,FIND("-",[1]Sheet1!F4)+1,FIND(")",[1]Sheet1!F4)-FIND("-",[1]Sheet1!F4)-1)</f>
        <v>温州</v>
      </c>
      <c r="F4" s="2" t="s">
        <v>42</v>
      </c>
      <c r="G4" s="2" t="s">
        <v>32</v>
      </c>
      <c r="H4" s="2" t="s">
        <v>33</v>
      </c>
      <c r="I4" s="2" t="s">
        <v>43</v>
      </c>
      <c r="J4" s="2" t="s">
        <v>44</v>
      </c>
      <c r="K4" s="2" t="s">
        <v>23</v>
      </c>
      <c r="L4" s="2" t="s">
        <v>24</v>
      </c>
      <c r="M4" s="2" t="s">
        <v>45</v>
      </c>
      <c r="N4" s="2" t="s">
        <v>46</v>
      </c>
      <c r="O4" s="2" t="s">
        <v>47</v>
      </c>
      <c r="P4" s="2" t="s">
        <v>39</v>
      </c>
      <c r="Q4" s="2" t="s">
        <v>48</v>
      </c>
    </row>
    <row r="5" spans="1:17">
      <c r="A5" s="2" t="s">
        <v>49</v>
      </c>
      <c r="B5" s="2" t="str">
        <f>[1]Sheet1!M5</f>
        <v>男</v>
      </c>
      <c r="C5" s="3" t="str" cm="1">
        <f t="array" ref="C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" s="2" t="str">
        <f>MID([1]Sheet1!F5,FIND("(",[1]Sheet1!F5)+1,FIND("-",[1]Sheet1!F5)-FIND("(",[1]Sheet1!F5)-1)</f>
        <v>浙江</v>
      </c>
      <c r="E5" s="2" t="str">
        <f>MID([1]Sheet1!F5,FIND("-",[1]Sheet1!F5)+1,FIND(")",[1]Sheet1!F5)-FIND("-",[1]Sheet1!F5)-1)</f>
        <v>温州</v>
      </c>
      <c r="F5" s="2" t="s">
        <v>18</v>
      </c>
      <c r="G5" s="2" t="s">
        <v>50</v>
      </c>
      <c r="H5" s="2" t="s">
        <v>20</v>
      </c>
      <c r="I5" s="2" t="s">
        <v>51</v>
      </c>
      <c r="J5" s="2" t="s">
        <v>22</v>
      </c>
      <c r="K5" s="2" t="s">
        <v>23</v>
      </c>
      <c r="L5" s="2" t="s">
        <v>24</v>
      </c>
      <c r="M5" s="2" t="s">
        <v>52</v>
      </c>
      <c r="N5" s="2" t="s">
        <v>46</v>
      </c>
      <c r="O5" s="2" t="s">
        <v>47</v>
      </c>
      <c r="P5" s="2" t="s">
        <v>39</v>
      </c>
      <c r="Q5" s="2" t="s">
        <v>53</v>
      </c>
    </row>
    <row r="6" spans="1:17">
      <c r="A6" s="2" t="s">
        <v>54</v>
      </c>
      <c r="B6" s="2" t="str">
        <f>[1]Sheet1!M6</f>
        <v>男</v>
      </c>
      <c r="C6" s="3" t="str" cm="1">
        <f t="array" ref="C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" s="2" t="str">
        <f>MID([1]Sheet1!F6,FIND("(",[1]Sheet1!F6)+1,FIND("-",[1]Sheet1!F6)-FIND("(",[1]Sheet1!F6)-1)</f>
        <v>江西</v>
      </c>
      <c r="E6" s="2" t="str">
        <f>MID([1]Sheet1!F6,FIND("-",[1]Sheet1!F6)+1,FIND(")",[1]Sheet1!F6)-FIND("-",[1]Sheet1!F6)-1)</f>
        <v>萍乡</v>
      </c>
      <c r="F6" s="2" t="s">
        <v>18</v>
      </c>
      <c r="G6" s="2" t="s">
        <v>32</v>
      </c>
      <c r="H6" s="2" t="s">
        <v>55</v>
      </c>
      <c r="I6" s="2" t="s">
        <v>51</v>
      </c>
      <c r="J6" s="2" t="s">
        <v>56</v>
      </c>
      <c r="K6" s="2" t="s">
        <v>23</v>
      </c>
      <c r="L6" s="2" t="s">
        <v>24</v>
      </c>
      <c r="M6" s="2" t="s">
        <v>57</v>
      </c>
      <c r="N6" s="2" t="s">
        <v>37</v>
      </c>
      <c r="O6" s="2" t="s">
        <v>58</v>
      </c>
      <c r="P6" s="2" t="s">
        <v>59</v>
      </c>
      <c r="Q6" s="2" t="s">
        <v>60</v>
      </c>
    </row>
    <row r="7" spans="1:17">
      <c r="A7" s="2" t="s">
        <v>61</v>
      </c>
      <c r="B7" s="2" t="str">
        <f>[1]Sheet1!M7</f>
        <v>男</v>
      </c>
      <c r="C7" s="3" t="str" cm="1">
        <f t="array" ref="C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" s="2" t="str">
        <f>MID([1]Sheet1!F7,FIND("(",[1]Sheet1!F7)+1,FIND("-",[1]Sheet1!F7)-FIND("(",[1]Sheet1!F7)-1)</f>
        <v>江西</v>
      </c>
      <c r="E7" s="2" t="str">
        <f>MID([1]Sheet1!F7,FIND("-",[1]Sheet1!F7)+1,FIND(")",[1]Sheet1!F7)-FIND("-",[1]Sheet1!F7)-1)</f>
        <v>南昌</v>
      </c>
      <c r="F7" s="2" t="s">
        <v>31</v>
      </c>
      <c r="G7" s="2" t="s">
        <v>19</v>
      </c>
      <c r="H7" s="2" t="s">
        <v>20</v>
      </c>
      <c r="I7" s="2" t="s">
        <v>34</v>
      </c>
      <c r="J7" s="2" t="s">
        <v>44</v>
      </c>
      <c r="K7" s="2" t="s">
        <v>23</v>
      </c>
      <c r="L7" s="2" t="s">
        <v>24</v>
      </c>
      <c r="M7" s="2" t="s">
        <v>45</v>
      </c>
      <c r="N7" s="2" t="s">
        <v>37</v>
      </c>
      <c r="O7" s="2" t="s">
        <v>62</v>
      </c>
      <c r="P7" s="2" t="s">
        <v>63</v>
      </c>
      <c r="Q7" s="2" t="s">
        <v>64</v>
      </c>
    </row>
    <row r="8" spans="1:17">
      <c r="A8" s="2" t="s">
        <v>65</v>
      </c>
      <c r="B8" s="2" t="str">
        <f>[1]Sheet1!M8</f>
        <v>男</v>
      </c>
      <c r="C8" s="3" t="str" cm="1">
        <f t="array" ref="C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" s="2" t="str">
        <f>MID([1]Sheet1!F8,FIND("(",[1]Sheet1!F8)+1,FIND("-",[1]Sheet1!F8)-FIND("(",[1]Sheet1!F8)-1)</f>
        <v>江西</v>
      </c>
      <c r="E8" s="2" t="str">
        <f>MID([1]Sheet1!F8,FIND("-",[1]Sheet1!F8)+1,FIND(")",[1]Sheet1!F8)-FIND("-",[1]Sheet1!F8)-1)</f>
        <v>九江</v>
      </c>
      <c r="F8" s="2" t="s">
        <v>31</v>
      </c>
      <c r="G8" s="2" t="s">
        <v>50</v>
      </c>
      <c r="H8" s="2" t="s">
        <v>66</v>
      </c>
      <c r="I8" s="2" t="s">
        <v>34</v>
      </c>
      <c r="J8" s="2" t="s">
        <v>56</v>
      </c>
      <c r="K8" s="2" t="s">
        <v>23</v>
      </c>
      <c r="L8" s="2" t="s">
        <v>24</v>
      </c>
      <c r="M8" s="2" t="s">
        <v>67</v>
      </c>
      <c r="N8" s="2" t="s">
        <v>37</v>
      </c>
      <c r="O8" s="2" t="s">
        <v>47</v>
      </c>
      <c r="P8" s="2" t="s">
        <v>39</v>
      </c>
      <c r="Q8" s="2" t="s">
        <v>68</v>
      </c>
    </row>
    <row r="9" spans="1:17">
      <c r="A9" s="2" t="s">
        <v>69</v>
      </c>
      <c r="B9" s="2" t="str">
        <f>[1]Sheet1!M9</f>
        <v>男</v>
      </c>
      <c r="C9" s="3" t="str" cm="1">
        <f t="array" ref="C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" s="2" t="str">
        <f>MID([1]Sheet1!F9,FIND("(",[1]Sheet1!F9)+1,FIND("-",[1]Sheet1!F9)-FIND("(",[1]Sheet1!F9)-1)</f>
        <v>广西</v>
      </c>
      <c r="E9" s="2" t="str">
        <f>MID([1]Sheet1!F9,FIND("-",[1]Sheet1!F9)+1,FIND(")",[1]Sheet1!F9)-FIND("-",[1]Sheet1!F9)-1)</f>
        <v>柳州</v>
      </c>
      <c r="F9" s="2" t="s">
        <v>70</v>
      </c>
      <c r="G9" s="2" t="s">
        <v>19</v>
      </c>
      <c r="H9" s="2" t="s">
        <v>66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71</v>
      </c>
      <c r="N9" s="2" t="s">
        <v>37</v>
      </c>
      <c r="O9" s="2" t="s">
        <v>47</v>
      </c>
      <c r="P9" s="2" t="s">
        <v>39</v>
      </c>
      <c r="Q9" s="2" t="s">
        <v>60</v>
      </c>
    </row>
    <row r="10" spans="1:17">
      <c r="A10" s="2" t="s">
        <v>72</v>
      </c>
      <c r="B10" s="2" t="str">
        <f>[1]Sheet1!M10</f>
        <v>女</v>
      </c>
      <c r="C10" s="3" t="str" cm="1">
        <f t="array" ref="C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0" s="2" t="str">
        <f>MID([1]Sheet1!F10,FIND("(",[1]Sheet1!F10)+1,FIND("-",[1]Sheet1!F10)-FIND("(",[1]Sheet1!F10)-1)</f>
        <v>甘肃</v>
      </c>
      <c r="E10" s="2" t="str">
        <f>MID([1]Sheet1!F10,FIND("-",[1]Sheet1!F10)+1,FIND(")",[1]Sheet1!F10)-FIND("-",[1]Sheet1!F10)-1)</f>
        <v>金昌</v>
      </c>
      <c r="F10" s="2" t="s">
        <v>18</v>
      </c>
      <c r="G10" s="2" t="s">
        <v>50</v>
      </c>
      <c r="H10" s="2" t="s">
        <v>66</v>
      </c>
      <c r="I10" s="2" t="s">
        <v>73</v>
      </c>
      <c r="J10" s="2" t="s">
        <v>35</v>
      </c>
      <c r="K10" s="2" t="s">
        <v>23</v>
      </c>
      <c r="L10" s="2" t="s">
        <v>24</v>
      </c>
      <c r="M10" s="2" t="s">
        <v>36</v>
      </c>
      <c r="N10" s="2" t="s">
        <v>26</v>
      </c>
      <c r="O10" s="2" t="s">
        <v>74</v>
      </c>
      <c r="P10" s="2" t="s">
        <v>28</v>
      </c>
      <c r="Q10" s="2" t="s">
        <v>75</v>
      </c>
    </row>
    <row r="11" spans="1:17">
      <c r="A11" s="2" t="s">
        <v>76</v>
      </c>
      <c r="B11" s="2" t="str">
        <f>[1]Sheet1!M11</f>
        <v>男</v>
      </c>
      <c r="C11" s="3" t="str" cm="1">
        <f t="array" ref="C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1" s="2" t="str">
        <f>MID([1]Sheet1!F11,FIND("(",[1]Sheet1!F11)+1,FIND("-",[1]Sheet1!F11)-FIND("(",[1]Sheet1!F11)-1)</f>
        <v>广西</v>
      </c>
      <c r="E11" s="2" t="str">
        <f>MID([1]Sheet1!F11,FIND("-",[1]Sheet1!F11)+1,FIND(")",[1]Sheet1!F11)-FIND("-",[1]Sheet1!F11)-1)</f>
        <v>南宁</v>
      </c>
      <c r="F11" s="2" t="s">
        <v>31</v>
      </c>
      <c r="G11" s="2" t="s">
        <v>32</v>
      </c>
      <c r="H11" s="2" t="s">
        <v>66</v>
      </c>
      <c r="I11" s="2" t="s">
        <v>43</v>
      </c>
      <c r="J11" s="2" t="s">
        <v>77</v>
      </c>
      <c r="K11" s="2" t="s">
        <v>23</v>
      </c>
      <c r="L11" s="2" t="s">
        <v>24</v>
      </c>
      <c r="M11" s="2" t="s">
        <v>78</v>
      </c>
      <c r="N11" s="2" t="s">
        <v>37</v>
      </c>
      <c r="O11" s="2" t="s">
        <v>79</v>
      </c>
      <c r="P11" s="2" t="s">
        <v>39</v>
      </c>
      <c r="Q11" s="2" t="s">
        <v>75</v>
      </c>
    </row>
    <row r="12" spans="1:17">
      <c r="A12" s="2" t="s">
        <v>80</v>
      </c>
      <c r="B12" s="2" t="str">
        <f>[1]Sheet1!M12</f>
        <v>男</v>
      </c>
      <c r="C12" s="3" t="str" cm="1">
        <f t="array" ref="C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2" s="2" t="str">
        <f>MID([1]Sheet1!F12,FIND("(",[1]Sheet1!F12)+1,FIND("-",[1]Sheet1!F12)-FIND("(",[1]Sheet1!F12)-1)</f>
        <v>海南</v>
      </c>
      <c r="E12" s="2" t="str">
        <f>MID([1]Sheet1!F12,FIND("-",[1]Sheet1!F12)+1,FIND(")",[1]Sheet1!F12)-FIND("-",[1]Sheet1!F12)-1)</f>
        <v>海口</v>
      </c>
      <c r="F12" s="2" t="s">
        <v>31</v>
      </c>
      <c r="G12" s="2" t="s">
        <v>81</v>
      </c>
      <c r="H12" s="2" t="s">
        <v>33</v>
      </c>
      <c r="I12" s="2" t="s">
        <v>43</v>
      </c>
      <c r="J12" s="2" t="s">
        <v>82</v>
      </c>
      <c r="K12" s="2" t="s">
        <v>23</v>
      </c>
      <c r="L12" s="2" t="s">
        <v>83</v>
      </c>
      <c r="M12" s="2" t="s">
        <v>84</v>
      </c>
      <c r="N12" s="2" t="s">
        <v>85</v>
      </c>
      <c r="O12" s="2" t="s">
        <v>27</v>
      </c>
      <c r="P12" s="2" t="s">
        <v>86</v>
      </c>
      <c r="Q12" s="2" t="s">
        <v>68</v>
      </c>
    </row>
    <row r="13" spans="1:17">
      <c r="A13" s="2" t="s">
        <v>87</v>
      </c>
      <c r="B13" s="2" t="str">
        <f>[1]Sheet1!M13</f>
        <v>男</v>
      </c>
      <c r="C13" s="3" t="str" cm="1">
        <f t="array" ref="C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3" s="2" t="str">
        <f>MID([1]Sheet1!F13,FIND("(",[1]Sheet1!F13)+1,FIND("-",[1]Sheet1!F13)-FIND("(",[1]Sheet1!F13)-1)</f>
        <v>北京</v>
      </c>
      <c r="E13" s="2" t="str">
        <f>MID([1]Sheet1!F13,FIND("-",[1]Sheet1!F13)+1,FIND(")",[1]Sheet1!F13)-FIND("-",[1]Sheet1!F13)-1)</f>
        <v>北京</v>
      </c>
      <c r="F13" s="2" t="s">
        <v>88</v>
      </c>
      <c r="G13" s="2" t="s">
        <v>19</v>
      </c>
      <c r="H13" s="2" t="s">
        <v>20</v>
      </c>
      <c r="I13" s="2" t="s">
        <v>43</v>
      </c>
      <c r="J13" s="2" t="s">
        <v>77</v>
      </c>
      <c r="K13" s="2" t="s">
        <v>23</v>
      </c>
      <c r="L13" s="2" t="s">
        <v>24</v>
      </c>
      <c r="M13" s="2" t="s">
        <v>71</v>
      </c>
      <c r="N13" s="2" t="s">
        <v>37</v>
      </c>
      <c r="O13" s="2" t="s">
        <v>89</v>
      </c>
      <c r="P13" s="2" t="s">
        <v>59</v>
      </c>
      <c r="Q13" s="2" t="s">
        <v>90</v>
      </c>
    </row>
    <row r="14" spans="1:17">
      <c r="A14" s="2" t="s">
        <v>91</v>
      </c>
      <c r="B14" s="2" t="str">
        <f>[1]Sheet1!M14</f>
        <v>女</v>
      </c>
      <c r="C14" s="3" t="str" cm="1">
        <f t="array" ref="C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4" s="2" t="str">
        <f>MID([1]Sheet1!F14,FIND("(",[1]Sheet1!F14)+1,FIND("-",[1]Sheet1!F14)-FIND("(",[1]Sheet1!F14)-1)</f>
        <v>安徽</v>
      </c>
      <c r="E14" s="2" t="str">
        <f>MID([1]Sheet1!F14,FIND("-",[1]Sheet1!F14)+1,FIND(")",[1]Sheet1!F14)-FIND("-",[1]Sheet1!F14)-1)</f>
        <v>六安</v>
      </c>
      <c r="F14" s="2" t="s">
        <v>42</v>
      </c>
      <c r="G14" s="2" t="s">
        <v>50</v>
      </c>
      <c r="H14" s="2" t="s">
        <v>66</v>
      </c>
      <c r="I14" s="2" t="s">
        <v>34</v>
      </c>
      <c r="J14" s="2" t="s">
        <v>82</v>
      </c>
      <c r="K14" s="2" t="s">
        <v>23</v>
      </c>
      <c r="L14" s="2" t="s">
        <v>24</v>
      </c>
      <c r="M14" s="2" t="s">
        <v>92</v>
      </c>
      <c r="N14" s="2" t="s">
        <v>26</v>
      </c>
      <c r="O14" s="2" t="s">
        <v>47</v>
      </c>
      <c r="P14" s="2" t="s">
        <v>39</v>
      </c>
      <c r="Q14" s="2" t="s">
        <v>68</v>
      </c>
    </row>
    <row r="15" spans="1:17">
      <c r="A15" s="2" t="s">
        <v>93</v>
      </c>
      <c r="B15" s="2" t="str">
        <f>[1]Sheet1!M15</f>
        <v>女</v>
      </c>
      <c r="C15" s="3" t="str" cm="1">
        <f t="array" ref="C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5" s="2" t="str">
        <f>MID([1]Sheet1!F15,FIND("(",[1]Sheet1!F15)+1,FIND("-",[1]Sheet1!F15)-FIND("(",[1]Sheet1!F15)-1)</f>
        <v>陕西</v>
      </c>
      <c r="E15" s="2" t="str">
        <f>MID([1]Sheet1!F15,FIND("-",[1]Sheet1!F15)+1,FIND(")",[1]Sheet1!F15)-FIND("-",[1]Sheet1!F15)-1)</f>
        <v>榆林</v>
      </c>
      <c r="F15" s="2" t="s">
        <v>88</v>
      </c>
      <c r="G15" s="2" t="s">
        <v>50</v>
      </c>
      <c r="H15" s="2" t="s">
        <v>20</v>
      </c>
      <c r="I15" s="2" t="s">
        <v>21</v>
      </c>
      <c r="J15" s="2" t="s">
        <v>77</v>
      </c>
      <c r="K15" s="2" t="s">
        <v>23</v>
      </c>
      <c r="L15" s="2" t="s">
        <v>24</v>
      </c>
      <c r="M15" s="2" t="s">
        <v>84</v>
      </c>
      <c r="N15" s="2" t="s">
        <v>85</v>
      </c>
      <c r="O15" s="2" t="s">
        <v>47</v>
      </c>
      <c r="P15" s="2" t="s">
        <v>63</v>
      </c>
      <c r="Q15" s="2" t="s">
        <v>94</v>
      </c>
    </row>
    <row r="16" spans="1:17">
      <c r="A16" s="2" t="s">
        <v>95</v>
      </c>
      <c r="B16" s="2" t="str">
        <f>[1]Sheet1!M16</f>
        <v>男</v>
      </c>
      <c r="C16" s="3" t="str" cm="1">
        <f t="array" ref="C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6" s="2" t="str">
        <f>MID([1]Sheet1!F16,FIND("(",[1]Sheet1!F16)+1,FIND("-",[1]Sheet1!F16)-FIND("(",[1]Sheet1!F16)-1)</f>
        <v>安徽</v>
      </c>
      <c r="E16" s="2" t="str">
        <f>MID([1]Sheet1!F16,FIND("-",[1]Sheet1!F16)+1,FIND(")",[1]Sheet1!F16)-FIND("-",[1]Sheet1!F16)-1)</f>
        <v>合肥</v>
      </c>
      <c r="F16" s="2" t="s">
        <v>18</v>
      </c>
      <c r="G16" s="2" t="s">
        <v>50</v>
      </c>
      <c r="H16" s="2" t="s">
        <v>55</v>
      </c>
      <c r="I16" s="2" t="s">
        <v>43</v>
      </c>
      <c r="J16" s="2" t="s">
        <v>96</v>
      </c>
      <c r="K16" s="2" t="s">
        <v>23</v>
      </c>
      <c r="L16" s="2" t="s">
        <v>24</v>
      </c>
      <c r="M16" s="2" t="s">
        <v>36</v>
      </c>
      <c r="N16" s="2" t="s">
        <v>37</v>
      </c>
      <c r="O16" s="2" t="s">
        <v>97</v>
      </c>
      <c r="P16" s="2" t="s">
        <v>28</v>
      </c>
      <c r="Q16" s="2" t="s">
        <v>98</v>
      </c>
    </row>
    <row r="17" spans="1:17">
      <c r="A17" s="2" t="s">
        <v>99</v>
      </c>
      <c r="B17" s="2" t="str">
        <f>[1]Sheet1!M17</f>
        <v>男</v>
      </c>
      <c r="C17" s="3" t="str" cm="1">
        <f t="array" ref="C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7" s="2" t="str">
        <f>MID([1]Sheet1!F17,FIND("(",[1]Sheet1!F17)+1,FIND("-",[1]Sheet1!F17)-FIND("(",[1]Sheet1!F17)-1)</f>
        <v>重庆</v>
      </c>
      <c r="E17" s="2" t="str">
        <f>MID([1]Sheet1!F17,FIND("-",[1]Sheet1!F17)+1,FIND(")",[1]Sheet1!F17)-FIND("-",[1]Sheet1!F17)-1)</f>
        <v>重庆</v>
      </c>
      <c r="F17" s="2" t="s">
        <v>31</v>
      </c>
      <c r="G17" s="2" t="s">
        <v>50</v>
      </c>
      <c r="H17" s="2" t="s">
        <v>20</v>
      </c>
      <c r="I17" s="2" t="s">
        <v>51</v>
      </c>
      <c r="J17" s="2" t="s">
        <v>96</v>
      </c>
      <c r="K17" s="2" t="s">
        <v>23</v>
      </c>
      <c r="L17" s="2" t="s">
        <v>24</v>
      </c>
      <c r="M17" s="2" t="s">
        <v>100</v>
      </c>
      <c r="N17" s="2" t="s">
        <v>26</v>
      </c>
      <c r="O17" s="2" t="s">
        <v>89</v>
      </c>
      <c r="P17" s="2" t="s">
        <v>39</v>
      </c>
      <c r="Q17" s="2" t="s">
        <v>101</v>
      </c>
    </row>
    <row r="18" spans="1:17">
      <c r="A18" s="2" t="s">
        <v>102</v>
      </c>
      <c r="B18" s="2" t="str">
        <f>[1]Sheet1!M18</f>
        <v>男</v>
      </c>
      <c r="C18" s="3" t="str" cm="1">
        <f t="array" ref="C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8" s="2" t="str">
        <f>MID([1]Sheet1!F18,FIND("(",[1]Sheet1!F18)+1,FIND("-",[1]Sheet1!F18)-FIND("(",[1]Sheet1!F18)-1)</f>
        <v>湖北</v>
      </c>
      <c r="E18" s="2" t="str">
        <f>MID([1]Sheet1!F18,FIND("-",[1]Sheet1!F18)+1,FIND(")",[1]Sheet1!F18)-FIND("-",[1]Sheet1!F18)-1)</f>
        <v>咸宁</v>
      </c>
      <c r="F18" s="2" t="s">
        <v>31</v>
      </c>
      <c r="G18" s="2" t="s">
        <v>50</v>
      </c>
      <c r="H18" s="2" t="s">
        <v>20</v>
      </c>
      <c r="I18" s="2" t="s">
        <v>73</v>
      </c>
      <c r="J18" s="2" t="s">
        <v>44</v>
      </c>
      <c r="K18" s="2" t="s">
        <v>23</v>
      </c>
      <c r="L18" s="2" t="s">
        <v>24</v>
      </c>
      <c r="M18" s="2" t="s">
        <v>36</v>
      </c>
      <c r="N18" s="2" t="s">
        <v>37</v>
      </c>
      <c r="O18" s="2" t="s">
        <v>47</v>
      </c>
      <c r="P18" s="2" t="s">
        <v>39</v>
      </c>
      <c r="Q18" s="2" t="s">
        <v>103</v>
      </c>
    </row>
    <row r="19" spans="1:17">
      <c r="A19" s="2" t="s">
        <v>104</v>
      </c>
      <c r="B19" s="2" t="str">
        <f>[1]Sheet1!M19</f>
        <v>男</v>
      </c>
      <c r="C19" s="3" t="str" cm="1">
        <f t="array" ref="C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9" s="2" t="str">
        <f>MID([1]Sheet1!F19,FIND("(",[1]Sheet1!F19)+1,FIND("-",[1]Sheet1!F19)-FIND("(",[1]Sheet1!F19)-1)</f>
        <v>河南</v>
      </c>
      <c r="E19" s="2" t="str">
        <f>MID([1]Sheet1!F19,FIND("-",[1]Sheet1!F19)+1,FIND(")",[1]Sheet1!F19)-FIND("-",[1]Sheet1!F19)-1)</f>
        <v>商丘</v>
      </c>
      <c r="F19" s="2" t="s">
        <v>70</v>
      </c>
      <c r="G19" s="2" t="s">
        <v>50</v>
      </c>
      <c r="H19" s="2" t="s">
        <v>33</v>
      </c>
      <c r="I19" s="2" t="s">
        <v>21</v>
      </c>
      <c r="J19" s="2" t="s">
        <v>82</v>
      </c>
      <c r="K19" s="2" t="s">
        <v>23</v>
      </c>
      <c r="L19" s="2" t="s">
        <v>83</v>
      </c>
      <c r="M19" s="2" t="s">
        <v>92</v>
      </c>
      <c r="N19" s="2" t="s">
        <v>105</v>
      </c>
      <c r="O19" s="2" t="s">
        <v>106</v>
      </c>
      <c r="P19" s="2" t="s">
        <v>28</v>
      </c>
      <c r="Q19" s="2" t="s">
        <v>107</v>
      </c>
    </row>
    <row r="20" spans="1:17">
      <c r="A20" s="2" t="s">
        <v>108</v>
      </c>
      <c r="B20" s="2" t="str">
        <f>[1]Sheet1!M20</f>
        <v>男</v>
      </c>
      <c r="C20" s="3" t="str" cm="1">
        <f t="array" ref="C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0" s="2" t="str">
        <f>MID([1]Sheet1!F20,FIND("(",[1]Sheet1!F20)+1,FIND("-",[1]Sheet1!F20)-FIND("(",[1]Sheet1!F20)-1)</f>
        <v>广东</v>
      </c>
      <c r="E20" s="2" t="str">
        <f>MID([1]Sheet1!F20,FIND("-",[1]Sheet1!F20)+1,FIND(")",[1]Sheet1!F20)-FIND("-",[1]Sheet1!F20)-1)</f>
        <v>广州</v>
      </c>
      <c r="F20" s="2" t="s">
        <v>31</v>
      </c>
      <c r="G20" s="2" t="s">
        <v>50</v>
      </c>
      <c r="H20" s="2" t="s">
        <v>66</v>
      </c>
      <c r="I20" s="2" t="s">
        <v>34</v>
      </c>
      <c r="J20" s="2" t="s">
        <v>96</v>
      </c>
      <c r="K20" s="2" t="s">
        <v>23</v>
      </c>
      <c r="L20" s="2" t="s">
        <v>24</v>
      </c>
      <c r="M20" s="2" t="s">
        <v>36</v>
      </c>
      <c r="N20" s="2" t="s">
        <v>46</v>
      </c>
      <c r="O20" s="2" t="s">
        <v>47</v>
      </c>
      <c r="P20" s="2" t="s">
        <v>28</v>
      </c>
      <c r="Q20" s="2" t="s">
        <v>98</v>
      </c>
    </row>
    <row r="21" spans="1:17">
      <c r="A21" s="2" t="s">
        <v>109</v>
      </c>
      <c r="B21" s="2" t="str">
        <f>[1]Sheet1!M21</f>
        <v>女</v>
      </c>
      <c r="C21" s="3" t="str" cm="1">
        <f t="array" ref="C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1" s="2" t="str">
        <f>MID([1]Sheet1!F21,FIND("(",[1]Sheet1!F21)+1,FIND("-",[1]Sheet1!F21)-FIND("(",[1]Sheet1!F21)-1)</f>
        <v>福建</v>
      </c>
      <c r="E21" s="2" t="str">
        <f>MID([1]Sheet1!F21,FIND("-",[1]Sheet1!F21)+1,FIND(")",[1]Sheet1!F21)-FIND("-",[1]Sheet1!F21)-1)</f>
        <v>泉州</v>
      </c>
      <c r="F21" s="2" t="s">
        <v>18</v>
      </c>
      <c r="G21" s="2" t="s">
        <v>81</v>
      </c>
      <c r="H21" s="2" t="s">
        <v>33</v>
      </c>
      <c r="I21" s="2" t="s">
        <v>21</v>
      </c>
      <c r="J21" s="2" t="s">
        <v>44</v>
      </c>
      <c r="K21" s="2" t="s">
        <v>110</v>
      </c>
      <c r="L21" s="2" t="s">
        <v>24</v>
      </c>
      <c r="M21" s="2" t="s">
        <v>111</v>
      </c>
      <c r="N21" s="2" t="s">
        <v>46</v>
      </c>
      <c r="O21" s="2" t="s">
        <v>89</v>
      </c>
      <c r="P21" s="2" t="s">
        <v>112</v>
      </c>
      <c r="Q21" s="2" t="s">
        <v>48</v>
      </c>
    </row>
    <row r="22" spans="1:17">
      <c r="A22" s="2" t="s">
        <v>113</v>
      </c>
      <c r="B22" s="2" t="str">
        <f>[1]Sheet1!M22</f>
        <v>男</v>
      </c>
      <c r="C22" s="3" t="str" cm="1">
        <f t="array" ref="C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2" s="2" t="str">
        <f>MID([1]Sheet1!F22,FIND("(",[1]Sheet1!F22)+1,FIND("-",[1]Sheet1!F22)-FIND("(",[1]Sheet1!F22)-1)</f>
        <v>山东</v>
      </c>
      <c r="E22" s="2" t="str">
        <f>MID([1]Sheet1!F22,FIND("-",[1]Sheet1!F22)+1,FIND(")",[1]Sheet1!F22)-FIND("-",[1]Sheet1!F22)-1)</f>
        <v>聊城</v>
      </c>
      <c r="F22" s="2" t="s">
        <v>70</v>
      </c>
      <c r="G22" s="2" t="s">
        <v>114</v>
      </c>
      <c r="H22" s="2" t="s">
        <v>55</v>
      </c>
      <c r="I22" s="2" t="s">
        <v>21</v>
      </c>
      <c r="J22" s="2" t="s">
        <v>56</v>
      </c>
      <c r="K22" s="2" t="s">
        <v>115</v>
      </c>
      <c r="L22" s="2" t="s">
        <v>83</v>
      </c>
      <c r="M22" s="2" t="s">
        <v>92</v>
      </c>
      <c r="N22" s="2" t="s">
        <v>46</v>
      </c>
      <c r="O22" s="2" t="s">
        <v>47</v>
      </c>
      <c r="P22" s="2" t="s">
        <v>86</v>
      </c>
      <c r="Q22" s="2" t="s">
        <v>75</v>
      </c>
    </row>
    <row r="23" spans="1:17">
      <c r="A23" s="2" t="s">
        <v>116</v>
      </c>
      <c r="B23" s="2" t="str">
        <f>[1]Sheet1!M23</f>
        <v>男</v>
      </c>
      <c r="C23" s="3" t="str" cm="1">
        <f t="array" ref="C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3" s="2" t="str">
        <f>MID([1]Sheet1!F23,FIND("(",[1]Sheet1!F23)+1,FIND("-",[1]Sheet1!F23)-FIND("(",[1]Sheet1!F23)-1)</f>
        <v>福建</v>
      </c>
      <c r="E23" s="2" t="str">
        <f>MID([1]Sheet1!F23,FIND("-",[1]Sheet1!F23)+1,FIND(")",[1]Sheet1!F23)-FIND("-",[1]Sheet1!F23)-1)</f>
        <v>漳州</v>
      </c>
      <c r="F23" s="2" t="s">
        <v>42</v>
      </c>
      <c r="G23" s="2" t="s">
        <v>50</v>
      </c>
      <c r="H23" s="2" t="s">
        <v>66</v>
      </c>
      <c r="I23" s="2" t="s">
        <v>34</v>
      </c>
      <c r="J23" s="2" t="s">
        <v>96</v>
      </c>
      <c r="K23" s="2" t="s">
        <v>117</v>
      </c>
      <c r="L23" s="2" t="s">
        <v>24</v>
      </c>
      <c r="M23" s="2" t="s">
        <v>36</v>
      </c>
      <c r="N23" s="2" t="s">
        <v>26</v>
      </c>
      <c r="O23" s="2" t="s">
        <v>58</v>
      </c>
      <c r="P23" s="2" t="s">
        <v>86</v>
      </c>
      <c r="Q23" s="2" t="s">
        <v>118</v>
      </c>
    </row>
    <row r="24" spans="1:17">
      <c r="A24" s="2" t="s">
        <v>119</v>
      </c>
      <c r="B24" s="2" t="str">
        <f>[1]Sheet1!M24</f>
        <v>男</v>
      </c>
      <c r="C24" s="3" t="str" cm="1">
        <f t="array" ref="C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4" s="2" t="str">
        <f>MID([1]Sheet1!F24,FIND("(",[1]Sheet1!F24)+1,FIND("-",[1]Sheet1!F24)-FIND("(",[1]Sheet1!F24)-1)</f>
        <v>重庆</v>
      </c>
      <c r="E24" s="2" t="str">
        <f>MID([1]Sheet1!F24,FIND("-",[1]Sheet1!F24)+1,FIND(")",[1]Sheet1!F24)-FIND("-",[1]Sheet1!F24)-1)</f>
        <v>重庆</v>
      </c>
      <c r="F24" s="2" t="s">
        <v>18</v>
      </c>
      <c r="G24" s="2" t="s">
        <v>81</v>
      </c>
      <c r="H24" s="2" t="s">
        <v>55</v>
      </c>
      <c r="I24" s="2" t="s">
        <v>120</v>
      </c>
      <c r="J24" s="2" t="s">
        <v>77</v>
      </c>
      <c r="K24" s="2" t="s">
        <v>121</v>
      </c>
      <c r="L24" s="2" t="s">
        <v>83</v>
      </c>
      <c r="M24" s="2" t="s">
        <v>36</v>
      </c>
      <c r="N24" s="2" t="s">
        <v>37</v>
      </c>
      <c r="O24" s="2" t="s">
        <v>122</v>
      </c>
      <c r="P24" s="2" t="s">
        <v>39</v>
      </c>
      <c r="Q24" s="2" t="s">
        <v>123</v>
      </c>
    </row>
    <row r="25" spans="1:17">
      <c r="A25" s="2" t="s">
        <v>124</v>
      </c>
      <c r="B25" s="2" t="str">
        <f>[1]Sheet1!M25</f>
        <v>男</v>
      </c>
      <c r="C25" s="3" t="str" cm="1">
        <f t="array" ref="C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5" s="2" t="str">
        <f>MID([1]Sheet1!F25,FIND("(",[1]Sheet1!F25)+1,FIND("-",[1]Sheet1!F25)-FIND("(",[1]Sheet1!F25)-1)</f>
        <v>贵州</v>
      </c>
      <c r="E25" s="2" t="str">
        <f>MID([1]Sheet1!F25,FIND("-",[1]Sheet1!F25)+1,FIND(")",[1]Sheet1!F25)-FIND("-",[1]Sheet1!F25)-1)</f>
        <v>贵阳</v>
      </c>
      <c r="F25" s="2" t="s">
        <v>31</v>
      </c>
      <c r="G25" s="2" t="s">
        <v>50</v>
      </c>
      <c r="H25" s="2" t="s">
        <v>66</v>
      </c>
      <c r="I25" s="2" t="s">
        <v>73</v>
      </c>
      <c r="J25" s="2" t="s">
        <v>82</v>
      </c>
      <c r="K25" s="2" t="s">
        <v>125</v>
      </c>
      <c r="L25" s="2" t="s">
        <v>24</v>
      </c>
      <c r="M25" s="2" t="s">
        <v>126</v>
      </c>
      <c r="N25" s="2" t="s">
        <v>37</v>
      </c>
      <c r="O25" s="2" t="s">
        <v>58</v>
      </c>
      <c r="P25" s="2" t="s">
        <v>39</v>
      </c>
      <c r="Q25" s="2" t="s">
        <v>118</v>
      </c>
    </row>
    <row r="26" spans="1:17">
      <c r="A26" s="2" t="s">
        <v>127</v>
      </c>
      <c r="B26" s="2" t="str">
        <f>[1]Sheet1!M26</f>
        <v>男</v>
      </c>
      <c r="C26" s="3" t="str" cm="1">
        <f t="array" ref="C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6" s="2" t="str">
        <f>MID([1]Sheet1!F26,FIND("(",[1]Sheet1!F26)+1,FIND("-",[1]Sheet1!F26)-FIND("(",[1]Sheet1!F26)-1)</f>
        <v>山东</v>
      </c>
      <c r="E26" s="2" t="str">
        <f>MID([1]Sheet1!F26,FIND("-",[1]Sheet1!F26)+1,FIND(")",[1]Sheet1!F26)-FIND("-",[1]Sheet1!F26)-1)</f>
        <v>聊城</v>
      </c>
      <c r="F26" s="2" t="s">
        <v>31</v>
      </c>
      <c r="G26" s="2" t="s">
        <v>81</v>
      </c>
      <c r="H26" s="2" t="s">
        <v>66</v>
      </c>
      <c r="I26" s="2" t="s">
        <v>43</v>
      </c>
      <c r="J26" s="2" t="s">
        <v>77</v>
      </c>
      <c r="K26" s="2" t="s">
        <v>121</v>
      </c>
      <c r="L26" s="2" t="s">
        <v>83</v>
      </c>
      <c r="M26" s="2" t="s">
        <v>36</v>
      </c>
      <c r="N26" s="2" t="s">
        <v>37</v>
      </c>
      <c r="O26" s="2" t="s">
        <v>47</v>
      </c>
      <c r="P26" s="2" t="s">
        <v>63</v>
      </c>
      <c r="Q26" s="2" t="s">
        <v>128</v>
      </c>
    </row>
    <row r="27" spans="1:17">
      <c r="A27" s="2" t="s">
        <v>129</v>
      </c>
      <c r="B27" s="2" t="str">
        <f>[1]Sheet1!M27</f>
        <v>男</v>
      </c>
      <c r="C27" s="3" t="str" cm="1">
        <f t="array" ref="C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27" s="2" t="str">
        <f>MID([1]Sheet1!F27,FIND("(",[1]Sheet1!F27)+1,FIND("-",[1]Sheet1!F27)-FIND("(",[1]Sheet1!F27)-1)</f>
        <v>西藏</v>
      </c>
      <c r="E27" s="2" t="str">
        <f>MID([1]Sheet1!F27,FIND("-",[1]Sheet1!F27)+1,FIND(")",[1]Sheet1!F27)-FIND("-",[1]Sheet1!F27)-1)</f>
        <v>拉萨</v>
      </c>
      <c r="F27" s="2" t="s">
        <v>31</v>
      </c>
      <c r="G27" s="2" t="s">
        <v>19</v>
      </c>
      <c r="H27" s="2" t="s">
        <v>66</v>
      </c>
      <c r="I27" s="2" t="s">
        <v>120</v>
      </c>
      <c r="J27" s="2" t="s">
        <v>56</v>
      </c>
      <c r="K27" s="2" t="s">
        <v>130</v>
      </c>
      <c r="L27" s="2" t="s">
        <v>24</v>
      </c>
      <c r="M27" s="2" t="s">
        <v>36</v>
      </c>
      <c r="N27" s="2" t="s">
        <v>26</v>
      </c>
      <c r="O27" s="2" t="s">
        <v>58</v>
      </c>
      <c r="P27" s="2" t="s">
        <v>86</v>
      </c>
      <c r="Q27" s="2" t="s">
        <v>131</v>
      </c>
    </row>
    <row r="28" spans="1:17">
      <c r="A28" s="2" t="s">
        <v>132</v>
      </c>
      <c r="B28" s="2" t="str">
        <f>[1]Sheet1!M28</f>
        <v>男</v>
      </c>
      <c r="C28" s="3" t="str" cm="1">
        <f t="array" ref="C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" s="2" t="str">
        <f>MID([1]Sheet1!F28,FIND("(",[1]Sheet1!F28)+1,FIND("-",[1]Sheet1!F28)-FIND("(",[1]Sheet1!F28)-1)</f>
        <v>山东</v>
      </c>
      <c r="E28" s="2" t="str">
        <f>MID([1]Sheet1!F28,FIND("-",[1]Sheet1!F28)+1,FIND(")",[1]Sheet1!F28)-FIND("-",[1]Sheet1!F28)-1)</f>
        <v>济宁</v>
      </c>
      <c r="F28" s="2" t="s">
        <v>31</v>
      </c>
      <c r="G28" s="2" t="s">
        <v>81</v>
      </c>
      <c r="H28" s="2" t="s">
        <v>33</v>
      </c>
      <c r="I28" s="2" t="s">
        <v>21</v>
      </c>
      <c r="J28" s="2" t="s">
        <v>77</v>
      </c>
      <c r="K28" s="2" t="s">
        <v>117</v>
      </c>
      <c r="L28" s="2" t="s">
        <v>24</v>
      </c>
      <c r="M28" s="2" t="s">
        <v>92</v>
      </c>
      <c r="N28" s="2" t="s">
        <v>37</v>
      </c>
      <c r="O28" s="2" t="s">
        <v>62</v>
      </c>
      <c r="P28" s="2" t="s">
        <v>63</v>
      </c>
      <c r="Q28" s="2" t="s">
        <v>133</v>
      </c>
    </row>
    <row r="29" spans="1:17">
      <c r="A29" s="2" t="s">
        <v>134</v>
      </c>
      <c r="B29" s="2" t="str">
        <f>[1]Sheet1!M29</f>
        <v>男</v>
      </c>
      <c r="C29" s="3" t="str" cm="1">
        <f t="array" ref="C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" s="2" t="str">
        <f>MID([1]Sheet1!F29,FIND("(",[1]Sheet1!F29)+1,FIND("-",[1]Sheet1!F29)-FIND("(",[1]Sheet1!F29)-1)</f>
        <v>河南</v>
      </c>
      <c r="E29" s="2" t="str">
        <f>MID([1]Sheet1!F29,FIND("-",[1]Sheet1!F29)+1,FIND(")",[1]Sheet1!F29)-FIND("-",[1]Sheet1!F29)-1)</f>
        <v>洛阳</v>
      </c>
      <c r="F29" s="2" t="s">
        <v>42</v>
      </c>
      <c r="G29" s="2" t="s">
        <v>81</v>
      </c>
      <c r="H29" s="2" t="s">
        <v>20</v>
      </c>
      <c r="I29" s="2" t="s">
        <v>21</v>
      </c>
      <c r="J29" s="2" t="s">
        <v>82</v>
      </c>
      <c r="K29" s="2" t="s">
        <v>117</v>
      </c>
      <c r="L29" s="2" t="s">
        <v>24</v>
      </c>
      <c r="M29" s="2" t="s">
        <v>36</v>
      </c>
      <c r="N29" s="2" t="s">
        <v>85</v>
      </c>
      <c r="O29" s="2" t="s">
        <v>58</v>
      </c>
      <c r="P29" s="2" t="s">
        <v>86</v>
      </c>
      <c r="Q29" s="2" t="s">
        <v>135</v>
      </c>
    </row>
    <row r="30" spans="1:17">
      <c r="A30" s="2" t="s">
        <v>136</v>
      </c>
      <c r="B30" s="2" t="str">
        <f>[1]Sheet1!M30</f>
        <v>男</v>
      </c>
      <c r="C30" s="3" t="str" cm="1">
        <f t="array" ref="C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0" s="2" t="str">
        <f>MID([1]Sheet1!F30,FIND("(",[1]Sheet1!F30)+1,FIND("-",[1]Sheet1!F30)-FIND("(",[1]Sheet1!F30)-1)</f>
        <v>福建</v>
      </c>
      <c r="E30" s="2" t="str">
        <f>MID([1]Sheet1!F30,FIND("-",[1]Sheet1!F30)+1,FIND(")",[1]Sheet1!F30)-FIND("-",[1]Sheet1!F30)-1)</f>
        <v>泉州</v>
      </c>
      <c r="F30" s="2" t="s">
        <v>31</v>
      </c>
      <c r="G30" s="2" t="s">
        <v>19</v>
      </c>
      <c r="H30" s="2" t="s">
        <v>33</v>
      </c>
      <c r="I30" s="2" t="s">
        <v>73</v>
      </c>
      <c r="J30" s="2" t="s">
        <v>82</v>
      </c>
      <c r="K30" s="2" t="s">
        <v>137</v>
      </c>
      <c r="L30" s="2" t="s">
        <v>24</v>
      </c>
      <c r="M30" s="2" t="s">
        <v>84</v>
      </c>
      <c r="N30" s="2" t="s">
        <v>105</v>
      </c>
      <c r="O30" s="2" t="s">
        <v>122</v>
      </c>
      <c r="P30" s="2" t="s">
        <v>39</v>
      </c>
      <c r="Q30" s="2" t="s">
        <v>48</v>
      </c>
    </row>
    <row r="31" spans="1:17">
      <c r="A31" s="2" t="s">
        <v>138</v>
      </c>
      <c r="B31" s="2" t="str">
        <f>[1]Sheet1!M31</f>
        <v>男</v>
      </c>
      <c r="C31" s="3" t="str" cm="1">
        <f t="array" ref="C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" s="2" t="str">
        <f>MID([1]Sheet1!F31,FIND("(",[1]Sheet1!F31)+1,FIND("-",[1]Sheet1!F31)-FIND("(",[1]Sheet1!F31)-1)</f>
        <v>河南</v>
      </c>
      <c r="E31" s="2" t="str">
        <f>MID([1]Sheet1!F31,FIND("-",[1]Sheet1!F31)+1,FIND(")",[1]Sheet1!F31)-FIND("-",[1]Sheet1!F31)-1)</f>
        <v>郑州</v>
      </c>
      <c r="F31" s="2" t="s">
        <v>31</v>
      </c>
      <c r="G31" s="2" t="s">
        <v>50</v>
      </c>
      <c r="H31" s="2" t="s">
        <v>20</v>
      </c>
      <c r="I31" s="2" t="s">
        <v>51</v>
      </c>
      <c r="J31" s="2" t="s">
        <v>35</v>
      </c>
      <c r="K31" s="2" t="s">
        <v>121</v>
      </c>
      <c r="L31" s="2" t="s">
        <v>83</v>
      </c>
      <c r="M31" s="2" t="s">
        <v>84</v>
      </c>
      <c r="N31" s="2" t="s">
        <v>85</v>
      </c>
      <c r="O31" s="2" t="s">
        <v>47</v>
      </c>
      <c r="P31" s="2" t="s">
        <v>39</v>
      </c>
      <c r="Q31" s="2" t="s">
        <v>139</v>
      </c>
    </row>
    <row r="32" spans="1:17">
      <c r="A32" s="2" t="s">
        <v>140</v>
      </c>
      <c r="B32" s="2" t="str">
        <f>[1]Sheet1!M32</f>
        <v>男</v>
      </c>
      <c r="C32" s="3" t="str" cm="1">
        <f t="array" ref="C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2" s="2" t="str">
        <f>MID([1]Sheet1!F32,FIND("(",[1]Sheet1!F32)+1,FIND("-",[1]Sheet1!F32)-FIND("(",[1]Sheet1!F32)-1)</f>
        <v>江苏</v>
      </c>
      <c r="E32" s="2" t="str">
        <f>MID([1]Sheet1!F32,FIND("-",[1]Sheet1!F32)+1,FIND(")",[1]Sheet1!F32)-FIND("-",[1]Sheet1!F32)-1)</f>
        <v>徐州</v>
      </c>
      <c r="F32" s="2" t="s">
        <v>42</v>
      </c>
      <c r="G32" s="2" t="s">
        <v>50</v>
      </c>
      <c r="H32" s="2" t="s">
        <v>20</v>
      </c>
      <c r="I32" s="2" t="s">
        <v>51</v>
      </c>
      <c r="J32" s="2" t="s">
        <v>82</v>
      </c>
      <c r="K32" s="2" t="s">
        <v>117</v>
      </c>
      <c r="L32" s="2" t="s">
        <v>24</v>
      </c>
      <c r="M32" s="2" t="s">
        <v>36</v>
      </c>
      <c r="N32" s="2" t="s">
        <v>37</v>
      </c>
      <c r="O32" s="2" t="s">
        <v>58</v>
      </c>
      <c r="P32" s="2" t="s">
        <v>39</v>
      </c>
      <c r="Q32" s="2" t="s">
        <v>141</v>
      </c>
    </row>
    <row r="33" spans="1:17">
      <c r="A33" s="2" t="s">
        <v>142</v>
      </c>
      <c r="B33" s="2" t="str">
        <f>[1]Sheet1!M33</f>
        <v>女</v>
      </c>
      <c r="C33" s="3" t="str" cm="1">
        <f t="array" ref="C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3" s="2" t="str">
        <f>MID([1]Sheet1!F33,FIND("(",[1]Sheet1!F33)+1,FIND("-",[1]Sheet1!F33)-FIND("(",[1]Sheet1!F33)-1)</f>
        <v>陕西</v>
      </c>
      <c r="E33" s="2" t="str">
        <f>MID([1]Sheet1!F33,FIND("-",[1]Sheet1!F33)+1,FIND(")",[1]Sheet1!F33)-FIND("-",[1]Sheet1!F33)-1)</f>
        <v>西安</v>
      </c>
      <c r="F33" s="2" t="s">
        <v>18</v>
      </c>
      <c r="G33" s="2" t="s">
        <v>19</v>
      </c>
      <c r="H33" s="2" t="s">
        <v>20</v>
      </c>
      <c r="I33" s="2" t="s">
        <v>73</v>
      </c>
      <c r="J33" s="2" t="s">
        <v>44</v>
      </c>
      <c r="K33" s="2" t="s">
        <v>117</v>
      </c>
      <c r="L33" s="2" t="s">
        <v>24</v>
      </c>
      <c r="M33" s="2" t="s">
        <v>143</v>
      </c>
      <c r="N33" s="2" t="s">
        <v>46</v>
      </c>
      <c r="O33" s="2" t="s">
        <v>47</v>
      </c>
      <c r="P33" s="2" t="s">
        <v>86</v>
      </c>
      <c r="Q33" s="2" t="s">
        <v>144</v>
      </c>
    </row>
    <row r="34" spans="1:17">
      <c r="A34" s="2" t="s">
        <v>145</v>
      </c>
      <c r="B34" s="2" t="str">
        <f>[1]Sheet1!M34</f>
        <v>男</v>
      </c>
      <c r="C34" s="3" t="str" cm="1">
        <f t="array" ref="C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4" s="2" t="str">
        <f>MID([1]Sheet1!F34,FIND("(",[1]Sheet1!F34)+1,FIND("-",[1]Sheet1!F34)-FIND("(",[1]Sheet1!F34)-1)</f>
        <v>山东</v>
      </c>
      <c r="E34" s="2" t="str">
        <f>MID([1]Sheet1!F34,FIND("-",[1]Sheet1!F34)+1,FIND(")",[1]Sheet1!F34)-FIND("-",[1]Sheet1!F34)-1)</f>
        <v>济南</v>
      </c>
      <c r="F34" s="2" t="s">
        <v>42</v>
      </c>
      <c r="G34" s="2" t="s">
        <v>81</v>
      </c>
      <c r="H34" s="2" t="s">
        <v>55</v>
      </c>
      <c r="I34" s="2" t="s">
        <v>73</v>
      </c>
      <c r="J34" s="2" t="s">
        <v>82</v>
      </c>
      <c r="K34" s="2" t="s">
        <v>121</v>
      </c>
      <c r="L34" s="2" t="s">
        <v>24</v>
      </c>
      <c r="M34" s="2" t="s">
        <v>36</v>
      </c>
      <c r="N34" s="2" t="s">
        <v>37</v>
      </c>
      <c r="O34" s="2" t="s">
        <v>97</v>
      </c>
      <c r="P34" s="2" t="s">
        <v>39</v>
      </c>
      <c r="Q34" s="2" t="s">
        <v>146</v>
      </c>
    </row>
    <row r="35" spans="1:17">
      <c r="A35" s="2" t="s">
        <v>147</v>
      </c>
      <c r="B35" s="2" t="str">
        <f>[1]Sheet1!M35</f>
        <v>男</v>
      </c>
      <c r="C35" s="3" t="str" cm="1">
        <f t="array" ref="C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5" s="2" t="str">
        <f>MID([1]Sheet1!F35,FIND("(",[1]Sheet1!F35)+1,FIND("-",[1]Sheet1!F35)-FIND("(",[1]Sheet1!F35)-1)</f>
        <v>福建</v>
      </c>
      <c r="E35" s="2" t="str">
        <f>MID([1]Sheet1!F35,FIND("-",[1]Sheet1!F35)+1,FIND(")",[1]Sheet1!F35)-FIND("-",[1]Sheet1!F35)-1)</f>
        <v>龙岩</v>
      </c>
      <c r="F35" s="2" t="s">
        <v>42</v>
      </c>
      <c r="G35" s="2" t="s">
        <v>81</v>
      </c>
      <c r="H35" s="2" t="s">
        <v>66</v>
      </c>
      <c r="I35" s="2" t="s">
        <v>120</v>
      </c>
      <c r="J35" s="2" t="s">
        <v>96</v>
      </c>
      <c r="K35" s="2" t="s">
        <v>115</v>
      </c>
      <c r="L35" s="2" t="s">
        <v>24</v>
      </c>
      <c r="M35" s="2" t="s">
        <v>36</v>
      </c>
      <c r="N35" s="2" t="s">
        <v>37</v>
      </c>
      <c r="O35" s="2" t="s">
        <v>47</v>
      </c>
      <c r="P35" s="2" t="s">
        <v>63</v>
      </c>
      <c r="Q35" s="2" t="s">
        <v>148</v>
      </c>
    </row>
    <row r="36" spans="1:17">
      <c r="A36" s="2" t="s">
        <v>149</v>
      </c>
      <c r="B36" s="2" t="str">
        <f>[1]Sheet1!M36</f>
        <v>女</v>
      </c>
      <c r="C36" s="3" t="str" cm="1">
        <f t="array" ref="C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6" s="2" t="str">
        <f>MID([1]Sheet1!F36,FIND("(",[1]Sheet1!F36)+1,FIND("-",[1]Sheet1!F36)-FIND("(",[1]Sheet1!F36)-1)</f>
        <v>陕西</v>
      </c>
      <c r="E36" s="2" t="str">
        <f>MID([1]Sheet1!F36,FIND("-",[1]Sheet1!F36)+1,FIND(")",[1]Sheet1!F36)-FIND("-",[1]Sheet1!F36)-1)</f>
        <v>西安</v>
      </c>
      <c r="F36" s="2" t="s">
        <v>31</v>
      </c>
      <c r="G36" s="2" t="s">
        <v>32</v>
      </c>
      <c r="H36" s="2" t="s">
        <v>20</v>
      </c>
      <c r="I36" s="2" t="s">
        <v>34</v>
      </c>
      <c r="J36" s="2" t="s">
        <v>96</v>
      </c>
      <c r="K36" s="2" t="s">
        <v>115</v>
      </c>
      <c r="L36" s="2" t="s">
        <v>24</v>
      </c>
      <c r="M36" s="2" t="s">
        <v>36</v>
      </c>
      <c r="N36" s="2" t="s">
        <v>37</v>
      </c>
      <c r="O36" s="2" t="s">
        <v>47</v>
      </c>
      <c r="P36" s="2" t="s">
        <v>86</v>
      </c>
      <c r="Q36" s="2" t="s">
        <v>150</v>
      </c>
    </row>
    <row r="37" spans="1:17">
      <c r="A37" s="2" t="s">
        <v>151</v>
      </c>
      <c r="B37" s="2" t="str">
        <f>[1]Sheet1!M37</f>
        <v>男</v>
      </c>
      <c r="C37" s="3" t="str" cm="1">
        <f t="array" ref="C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7" s="2" t="str">
        <f>MID([1]Sheet1!F37,FIND("(",[1]Sheet1!F37)+1,FIND("-",[1]Sheet1!F37)-FIND("(",[1]Sheet1!F37)-1)</f>
        <v>四川</v>
      </c>
      <c r="E37" s="2" t="str">
        <f>MID([1]Sheet1!F37,FIND("-",[1]Sheet1!F37)+1,FIND(")",[1]Sheet1!F37)-FIND("-",[1]Sheet1!F37)-1)</f>
        <v>成都</v>
      </c>
      <c r="F37" s="2" t="s">
        <v>70</v>
      </c>
      <c r="G37" s="2" t="s">
        <v>114</v>
      </c>
      <c r="H37" s="2" t="s">
        <v>66</v>
      </c>
      <c r="I37" s="2" t="s">
        <v>21</v>
      </c>
      <c r="J37" s="2" t="s">
        <v>82</v>
      </c>
      <c r="K37" s="2" t="s">
        <v>121</v>
      </c>
      <c r="L37" s="2" t="s">
        <v>24</v>
      </c>
      <c r="M37" s="2" t="s">
        <v>36</v>
      </c>
      <c r="N37" s="2" t="s">
        <v>26</v>
      </c>
      <c r="O37" s="2" t="s">
        <v>152</v>
      </c>
      <c r="P37" s="2" t="s">
        <v>59</v>
      </c>
      <c r="Q37" s="2" t="s">
        <v>29</v>
      </c>
    </row>
    <row r="38" spans="1:17">
      <c r="A38" s="2" t="s">
        <v>153</v>
      </c>
      <c r="B38" s="2" t="str">
        <f>[1]Sheet1!M38</f>
        <v>男</v>
      </c>
      <c r="C38" s="3" t="str" cm="1">
        <f t="array" ref="C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8" s="2" t="str">
        <f>MID([1]Sheet1!F38,FIND("(",[1]Sheet1!F38)+1,FIND("-",[1]Sheet1!F38)-FIND("(",[1]Sheet1!F38)-1)</f>
        <v>贵州</v>
      </c>
      <c r="E38" s="2" t="str">
        <f>MID([1]Sheet1!F38,FIND("-",[1]Sheet1!F38)+1,FIND(")",[1]Sheet1!F38)-FIND("-",[1]Sheet1!F38)-1)</f>
        <v>贵阳</v>
      </c>
      <c r="F38" s="2" t="s">
        <v>42</v>
      </c>
      <c r="G38" s="2" t="s">
        <v>81</v>
      </c>
      <c r="H38" s="2" t="s">
        <v>66</v>
      </c>
      <c r="I38" s="2" t="s">
        <v>120</v>
      </c>
      <c r="J38" s="2" t="s">
        <v>77</v>
      </c>
      <c r="K38" s="2" t="s">
        <v>117</v>
      </c>
      <c r="L38" s="2" t="s">
        <v>24</v>
      </c>
      <c r="M38" s="2" t="s">
        <v>25</v>
      </c>
      <c r="N38" s="2" t="s">
        <v>105</v>
      </c>
      <c r="O38" s="2" t="s">
        <v>47</v>
      </c>
      <c r="P38" s="2" t="s">
        <v>63</v>
      </c>
      <c r="Q38" s="2" t="s">
        <v>154</v>
      </c>
    </row>
    <row r="39" spans="1:17">
      <c r="A39" s="2" t="s">
        <v>155</v>
      </c>
      <c r="B39" s="2" t="str">
        <f>[1]Sheet1!M39</f>
        <v>男</v>
      </c>
      <c r="C39" s="3" t="str" cm="1">
        <f t="array" ref="C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9" s="2" t="str">
        <f>MID([1]Sheet1!F39,FIND("(",[1]Sheet1!F39)+1,FIND("-",[1]Sheet1!F39)-FIND("(",[1]Sheet1!F39)-1)</f>
        <v>陕西</v>
      </c>
      <c r="E39" s="2" t="str">
        <f>MID([1]Sheet1!F39,FIND("-",[1]Sheet1!F39)+1,FIND(")",[1]Sheet1!F39)-FIND("-",[1]Sheet1!F39)-1)</f>
        <v>西安</v>
      </c>
      <c r="F39" s="2" t="s">
        <v>18</v>
      </c>
      <c r="G39" s="2" t="s">
        <v>50</v>
      </c>
      <c r="H39" s="2" t="s">
        <v>20</v>
      </c>
      <c r="I39" s="2" t="s">
        <v>43</v>
      </c>
      <c r="J39" s="2" t="s">
        <v>82</v>
      </c>
      <c r="K39" s="2" t="s">
        <v>117</v>
      </c>
      <c r="L39" s="2" t="s">
        <v>24</v>
      </c>
      <c r="M39" s="2" t="s">
        <v>78</v>
      </c>
      <c r="N39" s="2" t="s">
        <v>85</v>
      </c>
      <c r="O39" s="2" t="s">
        <v>47</v>
      </c>
      <c r="P39" s="2" t="s">
        <v>39</v>
      </c>
      <c r="Q39" s="2" t="s">
        <v>123</v>
      </c>
    </row>
    <row r="40" spans="1:17">
      <c r="A40" s="2" t="s">
        <v>156</v>
      </c>
      <c r="B40" s="2" t="str">
        <f>[1]Sheet1!M40</f>
        <v>男</v>
      </c>
      <c r="C40" s="3" t="str" cm="1">
        <f t="array" ref="C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0" s="2" t="str">
        <f>MID([1]Sheet1!F40,FIND("(",[1]Sheet1!F40)+1,FIND("-",[1]Sheet1!F40)-FIND("(",[1]Sheet1!F40)-1)</f>
        <v>重庆</v>
      </c>
      <c r="E40" s="2" t="str">
        <f>MID([1]Sheet1!F40,FIND("-",[1]Sheet1!F40)+1,FIND(")",[1]Sheet1!F40)-FIND("-",[1]Sheet1!F40)-1)</f>
        <v>重庆</v>
      </c>
      <c r="F40" s="2" t="s">
        <v>18</v>
      </c>
      <c r="G40" s="2" t="s">
        <v>81</v>
      </c>
      <c r="H40" s="2" t="s">
        <v>33</v>
      </c>
      <c r="I40" s="2" t="s">
        <v>21</v>
      </c>
      <c r="J40" s="2" t="s">
        <v>22</v>
      </c>
      <c r="K40" s="2" t="s">
        <v>137</v>
      </c>
      <c r="L40" s="2" t="s">
        <v>24</v>
      </c>
      <c r="M40" s="2" t="s">
        <v>57</v>
      </c>
      <c r="N40" s="2" t="s">
        <v>37</v>
      </c>
      <c r="O40" s="2" t="s">
        <v>58</v>
      </c>
      <c r="P40" s="2" t="s">
        <v>86</v>
      </c>
      <c r="Q40" s="2" t="s">
        <v>157</v>
      </c>
    </row>
    <row r="41" spans="1:17">
      <c r="A41" s="2" t="s">
        <v>158</v>
      </c>
      <c r="B41" s="2" t="str">
        <f>[1]Sheet1!M41</f>
        <v>男</v>
      </c>
      <c r="C41" s="3" t="str" cm="1">
        <f t="array" ref="C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1" s="2" t="str">
        <f>MID([1]Sheet1!F41,FIND("(",[1]Sheet1!F41)+1,FIND("-",[1]Sheet1!F41)-FIND("(",[1]Sheet1!F41)-1)</f>
        <v>山东</v>
      </c>
      <c r="E41" s="2" t="str">
        <f>MID([1]Sheet1!F41,FIND("-",[1]Sheet1!F41)+1,FIND(")",[1]Sheet1!F41)-FIND("-",[1]Sheet1!F41)-1)</f>
        <v>济宁</v>
      </c>
      <c r="F41" s="2" t="s">
        <v>159</v>
      </c>
      <c r="G41" s="2" t="s">
        <v>50</v>
      </c>
      <c r="H41" s="2" t="s">
        <v>33</v>
      </c>
      <c r="I41" s="2" t="s">
        <v>51</v>
      </c>
      <c r="J41" s="2" t="s">
        <v>82</v>
      </c>
      <c r="K41" s="2" t="s">
        <v>137</v>
      </c>
      <c r="L41" s="2" t="s">
        <v>24</v>
      </c>
      <c r="M41" s="2" t="s">
        <v>100</v>
      </c>
      <c r="N41" s="2" t="s">
        <v>26</v>
      </c>
      <c r="O41" s="2" t="s">
        <v>47</v>
      </c>
      <c r="P41" s="2" t="s">
        <v>39</v>
      </c>
      <c r="Q41" s="2" t="s">
        <v>160</v>
      </c>
    </row>
    <row r="42" spans="1:17">
      <c r="A42" s="2" t="s">
        <v>161</v>
      </c>
      <c r="B42" s="2" t="str">
        <f>[1]Sheet1!M42</f>
        <v>男</v>
      </c>
      <c r="C42" s="3" t="str" cm="1">
        <f t="array" ref="C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2" s="2" t="str">
        <f>MID([1]Sheet1!F42,FIND("(",[1]Sheet1!F42)+1,FIND("-",[1]Sheet1!F42)-FIND("(",[1]Sheet1!F42)-1)</f>
        <v>河南</v>
      </c>
      <c r="E42" s="2" t="str">
        <f>MID([1]Sheet1!F42,FIND("-",[1]Sheet1!F42)+1,FIND(")",[1]Sheet1!F42)-FIND("-",[1]Sheet1!F42)-1)</f>
        <v>郑州</v>
      </c>
      <c r="F42" s="2" t="s">
        <v>70</v>
      </c>
      <c r="G42" s="2" t="s">
        <v>162</v>
      </c>
      <c r="H42" s="2" t="s">
        <v>20</v>
      </c>
      <c r="I42" s="2" t="s">
        <v>21</v>
      </c>
      <c r="J42" s="2" t="s">
        <v>82</v>
      </c>
      <c r="K42" s="2" t="s">
        <v>121</v>
      </c>
      <c r="L42" s="2" t="s">
        <v>83</v>
      </c>
      <c r="M42" s="2" t="s">
        <v>36</v>
      </c>
      <c r="N42" s="2" t="s">
        <v>37</v>
      </c>
      <c r="O42" s="2" t="s">
        <v>47</v>
      </c>
      <c r="P42" s="2" t="s">
        <v>59</v>
      </c>
      <c r="Q42" s="2" t="s">
        <v>75</v>
      </c>
    </row>
    <row r="43" spans="1:17">
      <c r="A43" s="2" t="s">
        <v>163</v>
      </c>
      <c r="B43" s="2" t="str">
        <f>[1]Sheet1!M43</f>
        <v>男</v>
      </c>
      <c r="C43" s="3" t="str" cm="1">
        <f t="array" ref="C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3" s="2" t="str">
        <f>MID([1]Sheet1!F43,FIND("(",[1]Sheet1!F43)+1,FIND("-",[1]Sheet1!F43)-FIND("(",[1]Sheet1!F43)-1)</f>
        <v>贵州</v>
      </c>
      <c r="E43" s="2" t="str">
        <f>MID([1]Sheet1!F43,FIND("-",[1]Sheet1!F43)+1,FIND(")",[1]Sheet1!F43)-FIND("-",[1]Sheet1!F43)-1)</f>
        <v>贵阳</v>
      </c>
      <c r="F43" s="2" t="s">
        <v>18</v>
      </c>
      <c r="G43" s="2" t="s">
        <v>81</v>
      </c>
      <c r="H43" s="2" t="s">
        <v>33</v>
      </c>
      <c r="I43" s="2" t="s">
        <v>21</v>
      </c>
      <c r="J43" s="2" t="s">
        <v>44</v>
      </c>
      <c r="K43" s="2" t="s">
        <v>117</v>
      </c>
      <c r="L43" s="2" t="s">
        <v>83</v>
      </c>
      <c r="M43" s="2" t="s">
        <v>71</v>
      </c>
      <c r="N43" s="2" t="s">
        <v>37</v>
      </c>
      <c r="O43" s="2" t="s">
        <v>58</v>
      </c>
      <c r="P43" s="2" t="s">
        <v>86</v>
      </c>
      <c r="Q43" s="2" t="s">
        <v>164</v>
      </c>
    </row>
    <row r="44" spans="1:17">
      <c r="A44" s="2" t="s">
        <v>165</v>
      </c>
      <c r="B44" s="2" t="str">
        <f>[1]Sheet1!M44</f>
        <v>男</v>
      </c>
      <c r="C44" s="3" t="str" cm="1">
        <f t="array" ref="C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4" s="2" t="str">
        <f>MID([1]Sheet1!F44,FIND("(",[1]Sheet1!F44)+1,FIND("-",[1]Sheet1!F44)-FIND("(",[1]Sheet1!F44)-1)</f>
        <v>浙江</v>
      </c>
      <c r="E44" s="2" t="str">
        <f>MID([1]Sheet1!F44,FIND("-",[1]Sheet1!F44)+1,FIND(")",[1]Sheet1!F44)-FIND("-",[1]Sheet1!F44)-1)</f>
        <v>温州</v>
      </c>
      <c r="F44" s="2" t="s">
        <v>42</v>
      </c>
      <c r="G44" s="2" t="s">
        <v>32</v>
      </c>
      <c r="H44" s="2" t="s">
        <v>66</v>
      </c>
      <c r="I44" s="2" t="s">
        <v>73</v>
      </c>
      <c r="J44" s="2" t="s">
        <v>35</v>
      </c>
      <c r="K44" s="2" t="s">
        <v>121</v>
      </c>
      <c r="L44" s="2" t="s">
        <v>24</v>
      </c>
      <c r="M44" s="2" t="s">
        <v>78</v>
      </c>
      <c r="N44" s="2" t="s">
        <v>37</v>
      </c>
      <c r="O44" s="2" t="s">
        <v>47</v>
      </c>
      <c r="P44" s="2" t="s">
        <v>39</v>
      </c>
      <c r="Q44" s="2" t="s">
        <v>166</v>
      </c>
    </row>
    <row r="45" spans="1:17">
      <c r="A45" s="2" t="s">
        <v>76</v>
      </c>
      <c r="B45" s="2" t="str">
        <f>[1]Sheet1!M45</f>
        <v>男</v>
      </c>
      <c r="C45" s="3" t="str" cm="1">
        <f t="array" ref="C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5" s="2" t="str">
        <f>MID([1]Sheet1!F45,FIND("(",[1]Sheet1!F45)+1,FIND("-",[1]Sheet1!F45)-FIND("(",[1]Sheet1!F45)-1)</f>
        <v>广西</v>
      </c>
      <c r="E45" s="2" t="str">
        <f>MID([1]Sheet1!F45,FIND("-",[1]Sheet1!F45)+1,FIND(")",[1]Sheet1!F45)-FIND("-",[1]Sheet1!F45)-1)</f>
        <v>南宁</v>
      </c>
      <c r="F45" s="2" t="s">
        <v>31</v>
      </c>
      <c r="G45" s="2" t="s">
        <v>32</v>
      </c>
      <c r="H45" s="2" t="s">
        <v>66</v>
      </c>
      <c r="I45" s="2" t="s">
        <v>43</v>
      </c>
      <c r="J45" s="2" t="s">
        <v>77</v>
      </c>
      <c r="K45" s="2" t="s">
        <v>167</v>
      </c>
      <c r="L45" s="2" t="s">
        <v>24</v>
      </c>
      <c r="M45" s="2" t="s">
        <v>143</v>
      </c>
      <c r="N45" s="2" t="s">
        <v>37</v>
      </c>
      <c r="O45" s="2" t="s">
        <v>58</v>
      </c>
      <c r="P45" s="2" t="s">
        <v>39</v>
      </c>
      <c r="Q45" s="2" t="s">
        <v>75</v>
      </c>
    </row>
    <row r="46" spans="1:17">
      <c r="A46" s="2" t="s">
        <v>168</v>
      </c>
      <c r="B46" s="2" t="str">
        <f>[1]Sheet1!M46</f>
        <v>男</v>
      </c>
      <c r="C46" s="3" t="str" cm="1">
        <f t="array" ref="C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6" s="2" t="str">
        <f>MID([1]Sheet1!F46,FIND("(",[1]Sheet1!F46)+1,FIND("-",[1]Sheet1!F46)-FIND("(",[1]Sheet1!F46)-1)</f>
        <v>天津</v>
      </c>
      <c r="E46" s="2" t="str">
        <f>MID([1]Sheet1!F46,FIND("-",[1]Sheet1!F46)+1,FIND(")",[1]Sheet1!F46)-FIND("-",[1]Sheet1!F46)-1)</f>
        <v>天津</v>
      </c>
      <c r="F46" s="2" t="s">
        <v>88</v>
      </c>
      <c r="G46" s="2" t="s">
        <v>19</v>
      </c>
      <c r="H46" s="2" t="s">
        <v>33</v>
      </c>
      <c r="I46" s="2" t="s">
        <v>43</v>
      </c>
      <c r="J46" s="2" t="s">
        <v>77</v>
      </c>
      <c r="K46" s="2" t="s">
        <v>169</v>
      </c>
      <c r="L46" s="2" t="s">
        <v>24</v>
      </c>
      <c r="M46" s="2" t="s">
        <v>36</v>
      </c>
      <c r="N46" s="2" t="s">
        <v>85</v>
      </c>
      <c r="O46" s="2" t="s">
        <v>58</v>
      </c>
      <c r="P46" s="2" t="s">
        <v>63</v>
      </c>
      <c r="Q46" s="2" t="s">
        <v>68</v>
      </c>
    </row>
    <row r="47" spans="1:17">
      <c r="A47" s="2" t="s">
        <v>170</v>
      </c>
      <c r="B47" s="2" t="str">
        <f>[1]Sheet1!M47</f>
        <v>女</v>
      </c>
      <c r="C47" s="3" t="str" cm="1">
        <f t="array" ref="C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7" s="2" t="str">
        <f>MID([1]Sheet1!F47,FIND("(",[1]Sheet1!F47)+1,FIND("-",[1]Sheet1!F47)-FIND("(",[1]Sheet1!F47)-1)</f>
        <v>河南</v>
      </c>
      <c r="E47" s="2" t="str">
        <f>MID([1]Sheet1!F47,FIND("-",[1]Sheet1!F47)+1,FIND(")",[1]Sheet1!F47)-FIND("-",[1]Sheet1!F47)-1)</f>
        <v>信阳</v>
      </c>
      <c r="F47" s="2" t="s">
        <v>70</v>
      </c>
      <c r="G47" s="2" t="s">
        <v>19</v>
      </c>
      <c r="H47" s="2" t="s">
        <v>66</v>
      </c>
      <c r="I47" s="2" t="s">
        <v>43</v>
      </c>
      <c r="J47" s="2" t="s">
        <v>77</v>
      </c>
      <c r="K47" s="2" t="s">
        <v>117</v>
      </c>
      <c r="L47" s="2" t="s">
        <v>24</v>
      </c>
      <c r="M47" s="2" t="s">
        <v>36</v>
      </c>
      <c r="N47" s="2" t="s">
        <v>37</v>
      </c>
      <c r="O47" s="2" t="s">
        <v>47</v>
      </c>
      <c r="P47" s="2" t="s">
        <v>63</v>
      </c>
      <c r="Q47" s="2" t="s">
        <v>75</v>
      </c>
    </row>
    <row r="48" spans="1:17">
      <c r="A48" s="2" t="s">
        <v>171</v>
      </c>
      <c r="B48" s="2" t="str">
        <f>[1]Sheet1!M48</f>
        <v>男</v>
      </c>
      <c r="C48" s="3" t="str" cm="1">
        <f t="array" ref="C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8" s="2" t="str">
        <f>MID([1]Sheet1!F48,FIND("(",[1]Sheet1!F48)+1,FIND("-",[1]Sheet1!F48)-FIND("(",[1]Sheet1!F48)-1)</f>
        <v>山东</v>
      </c>
      <c r="E48" s="2" t="str">
        <f>MID([1]Sheet1!F48,FIND("-",[1]Sheet1!F48)+1,FIND(")",[1]Sheet1!F48)-FIND("-",[1]Sheet1!F48)-1)</f>
        <v>济南</v>
      </c>
      <c r="F48" s="2" t="s">
        <v>70</v>
      </c>
      <c r="G48" s="2" t="s">
        <v>50</v>
      </c>
      <c r="H48" s="2" t="s">
        <v>20</v>
      </c>
      <c r="I48" s="2" t="s">
        <v>43</v>
      </c>
      <c r="J48" s="2" t="s">
        <v>82</v>
      </c>
      <c r="K48" s="2" t="s">
        <v>115</v>
      </c>
      <c r="L48" s="2" t="s">
        <v>83</v>
      </c>
      <c r="M48" s="2" t="s">
        <v>36</v>
      </c>
      <c r="N48" s="2" t="s">
        <v>37</v>
      </c>
      <c r="O48" s="2" t="s">
        <v>47</v>
      </c>
      <c r="P48" s="2" t="s">
        <v>28</v>
      </c>
      <c r="Q48" s="2" t="s">
        <v>172</v>
      </c>
    </row>
    <row r="49" spans="1:17">
      <c r="A49" s="2" t="s">
        <v>173</v>
      </c>
      <c r="B49" s="2" t="str">
        <f>[1]Sheet1!M49</f>
        <v>男</v>
      </c>
      <c r="C49" s="3" t="str" cm="1">
        <f t="array" ref="C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9" s="2" t="str">
        <f>MID([1]Sheet1!F49,FIND("(",[1]Sheet1!F49)+1,FIND("-",[1]Sheet1!F49)-FIND("(",[1]Sheet1!F49)-1)</f>
        <v>山西</v>
      </c>
      <c r="E49" s="2" t="str">
        <f>MID([1]Sheet1!F49,FIND("-",[1]Sheet1!F49)+1,FIND(")",[1]Sheet1!F49)-FIND("-",[1]Sheet1!F49)-1)</f>
        <v>大同</v>
      </c>
      <c r="F49" s="2" t="s">
        <v>159</v>
      </c>
      <c r="G49" s="2" t="s">
        <v>32</v>
      </c>
      <c r="H49" s="2" t="s">
        <v>55</v>
      </c>
      <c r="I49" s="2" t="s">
        <v>21</v>
      </c>
      <c r="J49" s="2" t="s">
        <v>96</v>
      </c>
      <c r="K49" s="2" t="s">
        <v>115</v>
      </c>
      <c r="L49" s="2" t="s">
        <v>24</v>
      </c>
      <c r="M49" s="2" t="s">
        <v>36</v>
      </c>
      <c r="N49" s="2" t="s">
        <v>37</v>
      </c>
      <c r="O49" s="2" t="s">
        <v>58</v>
      </c>
      <c r="P49" s="2" t="s">
        <v>39</v>
      </c>
      <c r="Q49" s="2" t="s">
        <v>75</v>
      </c>
    </row>
    <row r="50" spans="1:17">
      <c r="A50" s="2" t="s">
        <v>174</v>
      </c>
      <c r="B50" s="2" t="str">
        <f>[1]Sheet1!M50</f>
        <v>男</v>
      </c>
      <c r="C50" s="3" t="str" cm="1">
        <f t="array" ref="C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0" s="2" t="str">
        <f>MID([1]Sheet1!F50,FIND("(",[1]Sheet1!F50)+1,FIND("-",[1]Sheet1!F50)-FIND("(",[1]Sheet1!F50)-1)</f>
        <v>安徽</v>
      </c>
      <c r="E50" s="2" t="str">
        <f>MID([1]Sheet1!F50,FIND("-",[1]Sheet1!F50)+1,FIND(")",[1]Sheet1!F50)-FIND("-",[1]Sheet1!F50)-1)</f>
        <v>亳州</v>
      </c>
      <c r="F50" s="2" t="s">
        <v>18</v>
      </c>
      <c r="G50" s="2" t="s">
        <v>50</v>
      </c>
      <c r="H50" s="2" t="s">
        <v>20</v>
      </c>
      <c r="I50" s="2" t="s">
        <v>73</v>
      </c>
      <c r="J50" s="2" t="s">
        <v>44</v>
      </c>
      <c r="K50" s="2" t="s">
        <v>121</v>
      </c>
      <c r="L50" s="2" t="s">
        <v>83</v>
      </c>
      <c r="M50" s="2" t="s">
        <v>143</v>
      </c>
      <c r="N50" s="2" t="s">
        <v>26</v>
      </c>
      <c r="O50" s="2" t="s">
        <v>97</v>
      </c>
      <c r="P50" s="2" t="s">
        <v>175</v>
      </c>
      <c r="Q50" s="2" t="s">
        <v>176</v>
      </c>
    </row>
    <row r="51" spans="1:17">
      <c r="A51" s="2" t="s">
        <v>177</v>
      </c>
      <c r="B51" s="2" t="str">
        <f>[1]Sheet1!M51</f>
        <v>男</v>
      </c>
      <c r="C51" s="3" t="str" cm="1">
        <f t="array" ref="C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1" s="2" t="str">
        <f>MID([1]Sheet1!F51,FIND("(",[1]Sheet1!F51)+1,FIND("-",[1]Sheet1!F51)-FIND("(",[1]Sheet1!F51)-1)</f>
        <v>陕西</v>
      </c>
      <c r="E51" s="2" t="str">
        <f>MID([1]Sheet1!F51,FIND("-",[1]Sheet1!F51)+1,FIND(")",[1]Sheet1!F51)-FIND("-",[1]Sheet1!F51)-1)</f>
        <v>咸阳</v>
      </c>
      <c r="F51" s="2" t="s">
        <v>70</v>
      </c>
      <c r="G51" s="2" t="s">
        <v>32</v>
      </c>
      <c r="H51" s="2" t="s">
        <v>66</v>
      </c>
      <c r="I51" s="2" t="s">
        <v>21</v>
      </c>
      <c r="J51" s="2" t="s">
        <v>82</v>
      </c>
      <c r="K51" s="2" t="s">
        <v>117</v>
      </c>
      <c r="L51" s="2" t="s">
        <v>83</v>
      </c>
      <c r="M51" s="2" t="s">
        <v>36</v>
      </c>
      <c r="N51" s="2" t="s">
        <v>37</v>
      </c>
      <c r="O51" s="2" t="s">
        <v>178</v>
      </c>
      <c r="P51" s="2" t="s">
        <v>179</v>
      </c>
      <c r="Q51" s="2" t="s">
        <v>60</v>
      </c>
    </row>
    <row r="52" spans="1:17">
      <c r="A52" s="2" t="s">
        <v>180</v>
      </c>
      <c r="B52" s="2" t="str">
        <f>[1]Sheet1!M52</f>
        <v>男</v>
      </c>
      <c r="C52" s="3" t="str" cm="1">
        <f t="array" ref="C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2" s="2" t="str">
        <f>MID([1]Sheet1!F52,FIND("(",[1]Sheet1!F52)+1,FIND("-",[1]Sheet1!F52)-FIND("(",[1]Sheet1!F52)-1)</f>
        <v>重庆</v>
      </c>
      <c r="E52" s="2" t="str">
        <f>MID([1]Sheet1!F52,FIND("-",[1]Sheet1!F52)+1,FIND(")",[1]Sheet1!F52)-FIND("-",[1]Sheet1!F52)-1)</f>
        <v>重庆</v>
      </c>
      <c r="F52" s="2" t="s">
        <v>159</v>
      </c>
      <c r="G52" s="2" t="s">
        <v>19</v>
      </c>
      <c r="H52" s="2" t="s">
        <v>66</v>
      </c>
      <c r="I52" s="2" t="s">
        <v>34</v>
      </c>
      <c r="J52" s="2" t="s">
        <v>35</v>
      </c>
      <c r="K52" s="2" t="s">
        <v>130</v>
      </c>
      <c r="L52" s="2" t="s">
        <v>24</v>
      </c>
      <c r="M52" s="2" t="s">
        <v>143</v>
      </c>
      <c r="N52" s="2" t="s">
        <v>37</v>
      </c>
      <c r="O52" s="2" t="s">
        <v>181</v>
      </c>
      <c r="P52" s="2" t="s">
        <v>86</v>
      </c>
      <c r="Q52" s="2" t="s">
        <v>94</v>
      </c>
    </row>
    <row r="53" spans="1:17">
      <c r="A53" s="2" t="s">
        <v>182</v>
      </c>
      <c r="B53" s="2" t="str">
        <f>[1]Sheet1!M53</f>
        <v>女</v>
      </c>
      <c r="C53" s="3" t="str" cm="1">
        <f t="array" ref="C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3" s="2" t="str">
        <f>MID([1]Sheet1!F53,FIND("(",[1]Sheet1!F53)+1,FIND("-",[1]Sheet1!F53)-FIND("(",[1]Sheet1!F53)-1)</f>
        <v>山东</v>
      </c>
      <c r="E53" s="2" t="str">
        <f>MID([1]Sheet1!F53,FIND("-",[1]Sheet1!F53)+1,FIND(")",[1]Sheet1!F53)-FIND("-",[1]Sheet1!F53)-1)</f>
        <v>济南</v>
      </c>
      <c r="F53" s="2" t="s">
        <v>70</v>
      </c>
      <c r="G53" s="2" t="s">
        <v>32</v>
      </c>
      <c r="H53" s="2" t="s">
        <v>66</v>
      </c>
      <c r="I53" s="2" t="s">
        <v>34</v>
      </c>
      <c r="J53" s="2" t="s">
        <v>82</v>
      </c>
      <c r="K53" s="2" t="s">
        <v>169</v>
      </c>
      <c r="L53" s="2" t="s">
        <v>83</v>
      </c>
      <c r="M53" s="2" t="s">
        <v>36</v>
      </c>
      <c r="N53" s="2" t="s">
        <v>37</v>
      </c>
      <c r="O53" s="2" t="s">
        <v>89</v>
      </c>
      <c r="P53" s="2" t="s">
        <v>28</v>
      </c>
      <c r="Q53" s="2" t="s">
        <v>183</v>
      </c>
    </row>
    <row r="54" spans="1:17">
      <c r="A54" s="2" t="s">
        <v>184</v>
      </c>
      <c r="B54" s="2" t="str">
        <f>[1]Sheet1!M54</f>
        <v>男</v>
      </c>
      <c r="C54" s="3" t="str" cm="1">
        <f t="array" ref="C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4" s="2" t="str">
        <f>MID([1]Sheet1!F54,FIND("(",[1]Sheet1!F54)+1,FIND("-",[1]Sheet1!F54)-FIND("(",[1]Sheet1!F54)-1)</f>
        <v>陕西</v>
      </c>
      <c r="E54" s="2" t="str">
        <f>MID([1]Sheet1!F54,FIND("-",[1]Sheet1!F54)+1,FIND(")",[1]Sheet1!F54)-FIND("-",[1]Sheet1!F54)-1)</f>
        <v>西安</v>
      </c>
      <c r="F54" s="2" t="s">
        <v>70</v>
      </c>
      <c r="G54" s="2" t="s">
        <v>19</v>
      </c>
      <c r="H54" s="2" t="s">
        <v>33</v>
      </c>
      <c r="I54" s="2" t="s">
        <v>120</v>
      </c>
      <c r="J54" s="2" t="s">
        <v>77</v>
      </c>
      <c r="K54" s="2" t="s">
        <v>121</v>
      </c>
      <c r="L54" s="2" t="s">
        <v>24</v>
      </c>
      <c r="M54" s="2" t="s">
        <v>67</v>
      </c>
      <c r="N54" s="2" t="s">
        <v>37</v>
      </c>
      <c r="O54" s="2" t="s">
        <v>27</v>
      </c>
      <c r="P54" s="2" t="s">
        <v>39</v>
      </c>
      <c r="Q54" s="2" t="s">
        <v>185</v>
      </c>
    </row>
    <row r="55" spans="1:17">
      <c r="A55" s="2" t="s">
        <v>186</v>
      </c>
      <c r="B55" s="2" t="str">
        <f>[1]Sheet1!M55</f>
        <v>女</v>
      </c>
      <c r="C55" s="3" t="str" cm="1">
        <f t="array" ref="C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5" s="2" t="str">
        <f>MID([1]Sheet1!F55,FIND("(",[1]Sheet1!F55)+1,FIND("-",[1]Sheet1!F55)-FIND("(",[1]Sheet1!F55)-1)</f>
        <v>贵州</v>
      </c>
      <c r="E55" s="2" t="str">
        <f>MID([1]Sheet1!F55,FIND("-",[1]Sheet1!F55)+1,FIND(")",[1]Sheet1!F55)-FIND("-",[1]Sheet1!F55)-1)</f>
        <v>贵阳</v>
      </c>
      <c r="F55" s="2" t="s">
        <v>18</v>
      </c>
      <c r="G55" s="2" t="s">
        <v>32</v>
      </c>
      <c r="H55" s="2" t="s">
        <v>66</v>
      </c>
      <c r="I55" s="2" t="s">
        <v>43</v>
      </c>
      <c r="J55" s="2" t="s">
        <v>44</v>
      </c>
      <c r="K55" s="2" t="s">
        <v>121</v>
      </c>
      <c r="L55" s="2" t="s">
        <v>24</v>
      </c>
      <c r="M55" s="2" t="s">
        <v>36</v>
      </c>
      <c r="N55" s="2" t="s">
        <v>46</v>
      </c>
      <c r="O55" s="2" t="s">
        <v>187</v>
      </c>
      <c r="P55" s="2" t="s">
        <v>28</v>
      </c>
      <c r="Q55" s="2" t="s">
        <v>48</v>
      </c>
    </row>
    <row r="56" spans="1:17">
      <c r="A56" s="2" t="s">
        <v>188</v>
      </c>
      <c r="B56" s="2" t="str">
        <f>[1]Sheet1!M56</f>
        <v>男</v>
      </c>
      <c r="C56" s="3" t="str" cm="1">
        <f t="array" ref="C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6" s="2" t="str">
        <f>MID([1]Sheet1!F56,FIND("(",[1]Sheet1!F56)+1,FIND("-",[1]Sheet1!F56)-FIND("(",[1]Sheet1!F56)-1)</f>
        <v>山东</v>
      </c>
      <c r="E56" s="2" t="str">
        <f>MID([1]Sheet1!F56,FIND("-",[1]Sheet1!F56)+1,FIND(")",[1]Sheet1!F56)-FIND("-",[1]Sheet1!F56)-1)</f>
        <v>济宁</v>
      </c>
      <c r="F56" s="2" t="s">
        <v>159</v>
      </c>
      <c r="G56" s="2" t="s">
        <v>81</v>
      </c>
      <c r="H56" s="2" t="s">
        <v>20</v>
      </c>
      <c r="I56" s="2" t="s">
        <v>21</v>
      </c>
      <c r="J56" s="2" t="s">
        <v>77</v>
      </c>
      <c r="K56" s="2" t="s">
        <v>117</v>
      </c>
      <c r="L56" s="2" t="s">
        <v>24</v>
      </c>
      <c r="M56" s="2" t="s">
        <v>111</v>
      </c>
      <c r="N56" s="2" t="s">
        <v>37</v>
      </c>
      <c r="O56" s="2" t="s">
        <v>47</v>
      </c>
      <c r="P56" s="2" t="s">
        <v>189</v>
      </c>
      <c r="Q56" s="2" t="s">
        <v>68</v>
      </c>
    </row>
    <row r="57" spans="1:17">
      <c r="A57" s="2" t="s">
        <v>190</v>
      </c>
      <c r="B57" s="2" t="str">
        <f>[1]Sheet1!M57</f>
        <v>男</v>
      </c>
      <c r="C57" s="3" t="str" cm="1">
        <f t="array" ref="C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7" s="2" t="str">
        <f>MID([1]Sheet1!F57,FIND("(",[1]Sheet1!F57)+1,FIND("-",[1]Sheet1!F57)-FIND("(",[1]Sheet1!F57)-1)</f>
        <v>河南</v>
      </c>
      <c r="E57" s="2" t="str">
        <f>MID([1]Sheet1!F57,FIND("-",[1]Sheet1!F57)+1,FIND(")",[1]Sheet1!F57)-FIND("-",[1]Sheet1!F57)-1)</f>
        <v>郑州</v>
      </c>
      <c r="F57" s="2" t="s">
        <v>18</v>
      </c>
      <c r="G57" s="2" t="s">
        <v>81</v>
      </c>
      <c r="H57" s="2" t="s">
        <v>20</v>
      </c>
      <c r="I57" s="2" t="s">
        <v>51</v>
      </c>
      <c r="J57" s="2" t="s">
        <v>82</v>
      </c>
      <c r="K57" s="2" t="s">
        <v>117</v>
      </c>
      <c r="L57" s="2" t="s">
        <v>83</v>
      </c>
      <c r="M57" s="2" t="s">
        <v>71</v>
      </c>
      <c r="N57" s="2" t="s">
        <v>26</v>
      </c>
      <c r="O57" s="2" t="s">
        <v>27</v>
      </c>
      <c r="P57" s="2" t="s">
        <v>59</v>
      </c>
      <c r="Q57" s="2" t="s">
        <v>101</v>
      </c>
    </row>
    <row r="58" spans="1:17">
      <c r="A58" s="2" t="s">
        <v>191</v>
      </c>
      <c r="B58" s="2" t="str">
        <f>[1]Sheet1!M58</f>
        <v>男</v>
      </c>
      <c r="C58" s="3" t="str" cm="1">
        <f t="array" ref="C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8" s="2" t="str">
        <f>MID([1]Sheet1!F58,FIND("(",[1]Sheet1!F58)+1,FIND("-",[1]Sheet1!F58)-FIND("(",[1]Sheet1!F58)-1)</f>
        <v>山东</v>
      </c>
      <c r="E58" s="2" t="str">
        <f>MID([1]Sheet1!F58,FIND("-",[1]Sheet1!F58)+1,FIND(")",[1]Sheet1!F58)-FIND("-",[1]Sheet1!F58)-1)</f>
        <v>滨州</v>
      </c>
      <c r="F58" s="2" t="s">
        <v>42</v>
      </c>
      <c r="G58" s="2" t="s">
        <v>81</v>
      </c>
      <c r="H58" s="2" t="s">
        <v>55</v>
      </c>
      <c r="I58" s="2" t="s">
        <v>34</v>
      </c>
      <c r="J58" s="2" t="s">
        <v>22</v>
      </c>
      <c r="K58" s="2" t="s">
        <v>130</v>
      </c>
      <c r="L58" s="2" t="s">
        <v>24</v>
      </c>
      <c r="M58" s="2" t="s">
        <v>36</v>
      </c>
      <c r="N58" s="2" t="s">
        <v>37</v>
      </c>
      <c r="O58" s="2" t="s">
        <v>192</v>
      </c>
      <c r="P58" s="2" t="s">
        <v>23</v>
      </c>
      <c r="Q58" s="2" t="s">
        <v>193</v>
      </c>
    </row>
    <row r="59" spans="1:17">
      <c r="A59" s="2" t="s">
        <v>194</v>
      </c>
      <c r="B59" s="2" t="str">
        <f>[1]Sheet1!M59</f>
        <v>男</v>
      </c>
      <c r="C59" s="3" t="str" cm="1">
        <f t="array" ref="C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9" s="2" t="str">
        <f>MID([1]Sheet1!F59,FIND("(",[1]Sheet1!F59)+1,FIND("-",[1]Sheet1!F59)-FIND("(",[1]Sheet1!F59)-1)</f>
        <v>浙江</v>
      </c>
      <c r="E59" s="2" t="str">
        <f>MID([1]Sheet1!F59,FIND("-",[1]Sheet1!F59)+1,FIND(")",[1]Sheet1!F59)-FIND("-",[1]Sheet1!F59)-1)</f>
        <v>金华</v>
      </c>
      <c r="F59" s="2" t="s">
        <v>31</v>
      </c>
      <c r="G59" s="2" t="s">
        <v>114</v>
      </c>
      <c r="H59" s="2" t="s">
        <v>33</v>
      </c>
      <c r="I59" s="2" t="s">
        <v>21</v>
      </c>
      <c r="J59" s="2" t="s">
        <v>22</v>
      </c>
      <c r="K59" s="2" t="s">
        <v>117</v>
      </c>
      <c r="L59" s="2" t="s">
        <v>24</v>
      </c>
      <c r="M59" s="2" t="s">
        <v>143</v>
      </c>
      <c r="N59" s="2" t="s">
        <v>37</v>
      </c>
      <c r="O59" s="2" t="s">
        <v>47</v>
      </c>
      <c r="P59" s="2" t="s">
        <v>86</v>
      </c>
      <c r="Q59" s="2" t="s">
        <v>195</v>
      </c>
    </row>
    <row r="60" spans="1:17">
      <c r="A60" s="2" t="s">
        <v>196</v>
      </c>
      <c r="B60" s="2" t="str">
        <f>[1]Sheet1!M60</f>
        <v>女</v>
      </c>
      <c r="C60" s="3" t="str" cm="1">
        <f t="array" ref="C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" s="2" t="str">
        <f>MID([1]Sheet1!F60,FIND("(",[1]Sheet1!F60)+1,FIND("-",[1]Sheet1!F60)-FIND("(",[1]Sheet1!F60)-1)</f>
        <v>广西</v>
      </c>
      <c r="E60" s="2" t="str">
        <f>MID([1]Sheet1!F60,FIND("-",[1]Sheet1!F60)+1,FIND(")",[1]Sheet1!F60)-FIND("-",[1]Sheet1!F60)-1)</f>
        <v>柳州</v>
      </c>
      <c r="F60" s="2" t="s">
        <v>31</v>
      </c>
      <c r="G60" s="2" t="s">
        <v>50</v>
      </c>
      <c r="H60" s="2" t="s">
        <v>66</v>
      </c>
      <c r="I60" s="2" t="s">
        <v>21</v>
      </c>
      <c r="J60" s="2" t="s">
        <v>82</v>
      </c>
      <c r="K60" s="2" t="s">
        <v>117</v>
      </c>
      <c r="L60" s="2" t="s">
        <v>24</v>
      </c>
      <c r="M60" s="2" t="s">
        <v>84</v>
      </c>
      <c r="N60" s="2" t="s">
        <v>26</v>
      </c>
      <c r="O60" s="2" t="s">
        <v>58</v>
      </c>
      <c r="P60" s="2" t="s">
        <v>63</v>
      </c>
      <c r="Q60" s="2" t="s">
        <v>197</v>
      </c>
    </row>
    <row r="61" spans="1:17">
      <c r="A61" s="2" t="s">
        <v>198</v>
      </c>
      <c r="B61" s="2" t="str">
        <f>[1]Sheet1!M61</f>
        <v>女</v>
      </c>
      <c r="C61" s="3" t="str" cm="1">
        <f t="array" ref="C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1" s="2" t="str">
        <f>MID([1]Sheet1!F61,FIND("(",[1]Sheet1!F61)+1,FIND("-",[1]Sheet1!F61)-FIND("(",[1]Sheet1!F61)-1)</f>
        <v>浙江</v>
      </c>
      <c r="E61" s="2" t="str">
        <f>MID([1]Sheet1!F61,FIND("-",[1]Sheet1!F61)+1,FIND(")",[1]Sheet1!F61)-FIND("-",[1]Sheet1!F61)-1)</f>
        <v>杭州</v>
      </c>
      <c r="F61" s="2" t="s">
        <v>88</v>
      </c>
      <c r="G61" s="2" t="s">
        <v>32</v>
      </c>
      <c r="H61" s="2" t="s">
        <v>33</v>
      </c>
      <c r="I61" s="2" t="s">
        <v>21</v>
      </c>
      <c r="J61" s="2" t="s">
        <v>82</v>
      </c>
      <c r="K61" s="2" t="s">
        <v>117</v>
      </c>
      <c r="L61" s="2" t="s">
        <v>24</v>
      </c>
      <c r="M61" s="2" t="s">
        <v>57</v>
      </c>
      <c r="N61" s="2" t="s">
        <v>37</v>
      </c>
      <c r="O61" s="2" t="s">
        <v>199</v>
      </c>
      <c r="P61" s="2" t="s">
        <v>59</v>
      </c>
      <c r="Q61" s="2" t="s">
        <v>200</v>
      </c>
    </row>
    <row r="62" spans="1:17">
      <c r="A62" s="2" t="s">
        <v>201</v>
      </c>
      <c r="B62" s="2" t="str">
        <f>[1]Sheet1!M62</f>
        <v>男</v>
      </c>
      <c r="C62" s="3" t="str" cm="1">
        <f t="array" ref="C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2" s="2" t="str">
        <f>MID([1]Sheet1!F62,FIND("(",[1]Sheet1!F62)+1,FIND("-",[1]Sheet1!F62)-FIND("(",[1]Sheet1!F62)-1)</f>
        <v>河南</v>
      </c>
      <c r="E62" s="2" t="str">
        <f>MID([1]Sheet1!F62,FIND("-",[1]Sheet1!F62)+1,FIND(")",[1]Sheet1!F62)-FIND("-",[1]Sheet1!F62)-1)</f>
        <v>郑州</v>
      </c>
      <c r="F62" s="2" t="s">
        <v>42</v>
      </c>
      <c r="G62" s="2" t="s">
        <v>81</v>
      </c>
      <c r="H62" s="2" t="s">
        <v>20</v>
      </c>
      <c r="I62" s="2" t="s">
        <v>21</v>
      </c>
      <c r="J62" s="2" t="s">
        <v>82</v>
      </c>
      <c r="K62" s="2" t="s">
        <v>115</v>
      </c>
      <c r="L62" s="2" t="s">
        <v>24</v>
      </c>
      <c r="M62" s="2" t="s">
        <v>78</v>
      </c>
      <c r="N62" s="2" t="s">
        <v>37</v>
      </c>
      <c r="O62" s="2" t="s">
        <v>202</v>
      </c>
      <c r="P62" s="2" t="s">
        <v>86</v>
      </c>
      <c r="Q62" s="2" t="s">
        <v>133</v>
      </c>
    </row>
    <row r="63" spans="1:17">
      <c r="A63" s="2" t="s">
        <v>203</v>
      </c>
      <c r="B63" s="2" t="str">
        <f>[1]Sheet1!M63</f>
        <v>女</v>
      </c>
      <c r="C63" s="3" t="str" cm="1">
        <f t="array" ref="C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3" s="2" t="str">
        <f>MID([1]Sheet1!F63,FIND("(",[1]Sheet1!F63)+1,FIND("-",[1]Sheet1!F63)-FIND("(",[1]Sheet1!F63)-1)</f>
        <v>广西</v>
      </c>
      <c r="E63" s="2" t="str">
        <f>MID([1]Sheet1!F63,FIND("-",[1]Sheet1!F63)+1,FIND(")",[1]Sheet1!F63)-FIND("-",[1]Sheet1!F63)-1)</f>
        <v>南宁</v>
      </c>
      <c r="F63" s="2" t="s">
        <v>42</v>
      </c>
      <c r="G63" s="2" t="s">
        <v>50</v>
      </c>
      <c r="H63" s="2" t="s">
        <v>20</v>
      </c>
      <c r="I63" s="2" t="s">
        <v>21</v>
      </c>
      <c r="J63" s="2" t="s">
        <v>22</v>
      </c>
      <c r="K63" s="2" t="s">
        <v>117</v>
      </c>
      <c r="L63" s="2" t="s">
        <v>83</v>
      </c>
      <c r="M63" s="2" t="s">
        <v>36</v>
      </c>
      <c r="N63" s="2" t="s">
        <v>26</v>
      </c>
      <c r="O63" s="2" t="s">
        <v>204</v>
      </c>
      <c r="P63" s="2" t="s">
        <v>28</v>
      </c>
      <c r="Q63" s="2" t="s">
        <v>123</v>
      </c>
    </row>
    <row r="64" spans="1:17">
      <c r="A64" s="2" t="s">
        <v>205</v>
      </c>
      <c r="B64" s="2" t="str">
        <f>[1]Sheet1!M64</f>
        <v>男</v>
      </c>
      <c r="C64" s="3" t="str" cm="1">
        <f t="array" ref="C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4" s="2" t="str">
        <f>MID([1]Sheet1!F64,FIND("(",[1]Sheet1!F64)+1,FIND("-",[1]Sheet1!F64)-FIND("(",[1]Sheet1!F64)-1)</f>
        <v>河南</v>
      </c>
      <c r="E64" s="2" t="str">
        <f>MID([1]Sheet1!F64,FIND("-",[1]Sheet1!F64)+1,FIND(")",[1]Sheet1!F64)-FIND("-",[1]Sheet1!F64)-1)</f>
        <v>郑州</v>
      </c>
      <c r="F64" s="2" t="s">
        <v>31</v>
      </c>
      <c r="G64" s="2" t="s">
        <v>50</v>
      </c>
      <c r="H64" s="2" t="s">
        <v>66</v>
      </c>
      <c r="I64" s="2" t="s">
        <v>51</v>
      </c>
      <c r="J64" s="2" t="s">
        <v>82</v>
      </c>
      <c r="K64" s="2" t="s">
        <v>117</v>
      </c>
      <c r="L64" s="2" t="s">
        <v>83</v>
      </c>
      <c r="M64" s="2" t="s">
        <v>126</v>
      </c>
      <c r="N64" s="2" t="s">
        <v>105</v>
      </c>
      <c r="O64" s="2" t="s">
        <v>47</v>
      </c>
      <c r="P64" s="2" t="s">
        <v>39</v>
      </c>
      <c r="Q64" s="2" t="s">
        <v>206</v>
      </c>
    </row>
    <row r="65" spans="1:17">
      <c r="A65" s="2" t="s">
        <v>207</v>
      </c>
      <c r="B65" s="2" t="str">
        <f>[1]Sheet1!M65</f>
        <v>男</v>
      </c>
      <c r="C65" s="3" t="str" cm="1">
        <f t="array" ref="C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5" s="2" t="str">
        <f>MID([1]Sheet1!F65,FIND("(",[1]Sheet1!F65)+1,FIND("-",[1]Sheet1!F65)-FIND("(",[1]Sheet1!F65)-1)</f>
        <v>山东</v>
      </c>
      <c r="E65" s="2" t="str">
        <f>MID([1]Sheet1!F65,FIND("-",[1]Sheet1!F65)+1,FIND(")",[1]Sheet1!F65)-FIND("-",[1]Sheet1!F65)-1)</f>
        <v>淄博</v>
      </c>
      <c r="F65" s="2" t="s">
        <v>42</v>
      </c>
      <c r="G65" s="2" t="s">
        <v>50</v>
      </c>
      <c r="H65" s="2" t="s">
        <v>20</v>
      </c>
      <c r="I65" s="2" t="s">
        <v>51</v>
      </c>
      <c r="J65" s="2" t="s">
        <v>82</v>
      </c>
      <c r="K65" s="2" t="s">
        <v>115</v>
      </c>
      <c r="L65" s="2" t="s">
        <v>24</v>
      </c>
      <c r="M65" s="2" t="s">
        <v>57</v>
      </c>
      <c r="N65" s="2" t="s">
        <v>85</v>
      </c>
      <c r="O65" s="2" t="s">
        <v>202</v>
      </c>
      <c r="P65" s="2" t="s">
        <v>63</v>
      </c>
      <c r="Q65" s="2" t="s">
        <v>123</v>
      </c>
    </row>
    <row r="66" spans="1:17">
      <c r="A66" s="2" t="s">
        <v>108</v>
      </c>
      <c r="B66" s="2" t="str">
        <f>[1]Sheet1!M66</f>
        <v>男</v>
      </c>
      <c r="C66" s="3" t="str" cm="1">
        <f t="array" ref="C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6" s="2" t="str">
        <f>MID([1]Sheet1!F66,FIND("(",[1]Sheet1!F66)+1,FIND("-",[1]Sheet1!F66)-FIND("(",[1]Sheet1!F66)-1)</f>
        <v>广东</v>
      </c>
      <c r="E66" s="2" t="str">
        <f>MID([1]Sheet1!F66,FIND("-",[1]Sheet1!F66)+1,FIND(")",[1]Sheet1!F66)-FIND("-",[1]Sheet1!F66)-1)</f>
        <v>东莞</v>
      </c>
      <c r="F66" s="2" t="s">
        <v>31</v>
      </c>
      <c r="G66" s="2" t="s">
        <v>50</v>
      </c>
      <c r="H66" s="2" t="s">
        <v>66</v>
      </c>
      <c r="I66" s="2" t="s">
        <v>34</v>
      </c>
      <c r="J66" s="2" t="s">
        <v>96</v>
      </c>
      <c r="K66" s="2" t="s">
        <v>121</v>
      </c>
      <c r="L66" s="2" t="s">
        <v>24</v>
      </c>
      <c r="M66" s="2" t="s">
        <v>36</v>
      </c>
      <c r="N66" s="2" t="s">
        <v>85</v>
      </c>
      <c r="O66" s="2" t="s">
        <v>58</v>
      </c>
      <c r="P66" s="2" t="s">
        <v>39</v>
      </c>
      <c r="Q66" s="2" t="s">
        <v>98</v>
      </c>
    </row>
    <row r="67" spans="1:17">
      <c r="A67" s="2" t="s">
        <v>208</v>
      </c>
      <c r="B67" s="2" t="str">
        <f>[1]Sheet1!M67</f>
        <v>男</v>
      </c>
      <c r="C67" s="3" t="str" cm="1">
        <f t="array" ref="C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7" s="2" t="str">
        <f>MID([1]Sheet1!F67,FIND("(",[1]Sheet1!F67)+1,FIND("-",[1]Sheet1!F67)-FIND("(",[1]Sheet1!F67)-1)</f>
        <v>广西</v>
      </c>
      <c r="E67" s="2" t="str">
        <f>MID([1]Sheet1!F67,FIND("-",[1]Sheet1!F67)+1,FIND(")",[1]Sheet1!F67)-FIND("-",[1]Sheet1!F67)-1)</f>
        <v>柳州</v>
      </c>
      <c r="F67" s="2" t="s">
        <v>31</v>
      </c>
      <c r="G67" s="2" t="s">
        <v>81</v>
      </c>
      <c r="H67" s="2" t="s">
        <v>66</v>
      </c>
      <c r="I67" s="2" t="s">
        <v>43</v>
      </c>
      <c r="J67" s="2" t="s">
        <v>82</v>
      </c>
      <c r="K67" s="2" t="s">
        <v>130</v>
      </c>
      <c r="L67" s="2" t="s">
        <v>83</v>
      </c>
      <c r="M67" s="2" t="s">
        <v>126</v>
      </c>
      <c r="N67" s="2" t="s">
        <v>46</v>
      </c>
      <c r="O67" s="2" t="s">
        <v>47</v>
      </c>
      <c r="P67" s="2" t="s">
        <v>28</v>
      </c>
      <c r="Q67" s="2" t="s">
        <v>209</v>
      </c>
    </row>
    <row r="68" spans="1:17">
      <c r="A68" s="2" t="s">
        <v>210</v>
      </c>
      <c r="B68" s="2" t="str">
        <f>[1]Sheet1!M68</f>
        <v>女</v>
      </c>
      <c r="C68" s="3" t="str" cm="1">
        <f t="array" ref="C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" s="2" t="str">
        <f>MID([1]Sheet1!F68,FIND("(",[1]Sheet1!F68)+1,FIND("-",[1]Sheet1!F68)-FIND("(",[1]Sheet1!F68)-1)</f>
        <v>广西</v>
      </c>
      <c r="E68" s="2" t="str">
        <f>MID([1]Sheet1!F68,FIND("-",[1]Sheet1!F68)+1,FIND(")",[1]Sheet1!F68)-FIND("-",[1]Sheet1!F68)-1)</f>
        <v>柳州</v>
      </c>
      <c r="F68" s="2" t="s">
        <v>31</v>
      </c>
      <c r="G68" s="2" t="s">
        <v>19</v>
      </c>
      <c r="H68" s="2" t="s">
        <v>55</v>
      </c>
      <c r="I68" s="2" t="s">
        <v>211</v>
      </c>
      <c r="J68" s="2" t="s">
        <v>35</v>
      </c>
      <c r="K68" s="2" t="s">
        <v>212</v>
      </c>
      <c r="L68" s="2" t="s">
        <v>24</v>
      </c>
      <c r="M68" s="2" t="s">
        <v>36</v>
      </c>
      <c r="N68" s="2" t="s">
        <v>105</v>
      </c>
      <c r="O68" s="2" t="s">
        <v>97</v>
      </c>
      <c r="P68" s="2" t="s">
        <v>86</v>
      </c>
      <c r="Q68" s="2" t="s">
        <v>48</v>
      </c>
    </row>
    <row r="69" spans="1:17">
      <c r="A69" s="2" t="s">
        <v>213</v>
      </c>
      <c r="B69" s="2" t="str">
        <f>[1]Sheet1!M69</f>
        <v>女</v>
      </c>
      <c r="C69" s="3" t="str" cm="1">
        <f t="array" ref="C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9" s="2" t="str">
        <f>MID([1]Sheet1!F69,FIND("(",[1]Sheet1!F69)+1,FIND("-",[1]Sheet1!F69)-FIND("(",[1]Sheet1!F69)-1)</f>
        <v>河南</v>
      </c>
      <c r="E69" s="2" t="str">
        <f>MID([1]Sheet1!F69,FIND("-",[1]Sheet1!F69)+1,FIND(")",[1]Sheet1!F69)-FIND("-",[1]Sheet1!F69)-1)</f>
        <v>郑州</v>
      </c>
      <c r="F69" s="2" t="s">
        <v>88</v>
      </c>
      <c r="G69" s="2" t="s">
        <v>32</v>
      </c>
      <c r="H69" s="2" t="s">
        <v>33</v>
      </c>
      <c r="I69" s="2" t="s">
        <v>21</v>
      </c>
      <c r="J69" s="2" t="s">
        <v>22</v>
      </c>
      <c r="K69" s="2" t="s">
        <v>125</v>
      </c>
      <c r="L69" s="2" t="s">
        <v>24</v>
      </c>
      <c r="M69" s="2" t="s">
        <v>71</v>
      </c>
      <c r="N69" s="2" t="s">
        <v>37</v>
      </c>
      <c r="O69" s="2" t="s">
        <v>58</v>
      </c>
      <c r="P69" s="2" t="s">
        <v>59</v>
      </c>
      <c r="Q69" s="2" t="s">
        <v>214</v>
      </c>
    </row>
    <row r="70" spans="1:17">
      <c r="A70" s="2" t="s">
        <v>215</v>
      </c>
      <c r="B70" s="2" t="str">
        <f>[1]Sheet1!M70</f>
        <v>男</v>
      </c>
      <c r="C70" s="3" t="str" cm="1">
        <f t="array" ref="C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0" s="2" t="str">
        <f>MID([1]Sheet1!F70,FIND("(",[1]Sheet1!F70)+1,FIND("-",[1]Sheet1!F70)-FIND("(",[1]Sheet1!F70)-1)</f>
        <v>河南</v>
      </c>
      <c r="E70" s="2" t="str">
        <f>MID([1]Sheet1!F70,FIND("-",[1]Sheet1!F70)+1,FIND(")",[1]Sheet1!F70)-FIND("-",[1]Sheet1!F70)-1)</f>
        <v>郑州</v>
      </c>
      <c r="F70" s="2" t="s">
        <v>18</v>
      </c>
      <c r="G70" s="2" t="s">
        <v>19</v>
      </c>
      <c r="H70" s="2" t="s">
        <v>66</v>
      </c>
      <c r="I70" s="2" t="s">
        <v>21</v>
      </c>
      <c r="J70" s="2" t="s">
        <v>82</v>
      </c>
      <c r="K70" s="2" t="s">
        <v>115</v>
      </c>
      <c r="L70" s="2" t="s">
        <v>24</v>
      </c>
      <c r="M70" s="2" t="s">
        <v>36</v>
      </c>
      <c r="N70" s="2" t="s">
        <v>37</v>
      </c>
      <c r="O70" s="2" t="s">
        <v>47</v>
      </c>
      <c r="P70" s="2" t="s">
        <v>28</v>
      </c>
      <c r="Q70" s="2" t="s">
        <v>101</v>
      </c>
    </row>
    <row r="71" spans="1:17">
      <c r="A71" s="2" t="s">
        <v>216</v>
      </c>
      <c r="B71" s="2" t="str">
        <f>[1]Sheet1!M71</f>
        <v>男</v>
      </c>
      <c r="C71" s="3" t="str" cm="1">
        <f t="array" ref="C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1" s="2" t="str">
        <f>MID([1]Sheet1!F71,FIND("(",[1]Sheet1!F71)+1,FIND("-",[1]Sheet1!F71)-FIND("(",[1]Sheet1!F71)-1)</f>
        <v>江苏</v>
      </c>
      <c r="E71" s="2" t="str">
        <f>MID([1]Sheet1!F71,FIND("-",[1]Sheet1!F71)+1,FIND(")",[1]Sheet1!F71)-FIND("-",[1]Sheet1!F71)-1)</f>
        <v>扬州</v>
      </c>
      <c r="F71" s="2" t="s">
        <v>42</v>
      </c>
      <c r="G71" s="2" t="s">
        <v>32</v>
      </c>
      <c r="H71" s="2" t="s">
        <v>66</v>
      </c>
      <c r="I71" s="2" t="s">
        <v>51</v>
      </c>
      <c r="J71" s="2" t="s">
        <v>82</v>
      </c>
      <c r="K71" s="2" t="s">
        <v>217</v>
      </c>
      <c r="L71" s="2" t="s">
        <v>24</v>
      </c>
      <c r="M71" s="2" t="s">
        <v>36</v>
      </c>
      <c r="N71" s="2" t="s">
        <v>105</v>
      </c>
      <c r="O71" s="2" t="s">
        <v>178</v>
      </c>
      <c r="P71" s="2" t="s">
        <v>218</v>
      </c>
      <c r="Q71" s="2" t="s">
        <v>29</v>
      </c>
    </row>
    <row r="72" spans="1:17">
      <c r="A72" s="2" t="s">
        <v>216</v>
      </c>
      <c r="B72" s="2" t="str">
        <f>[1]Sheet1!M72</f>
        <v>男</v>
      </c>
      <c r="C72" s="3" t="str" cm="1">
        <f t="array" ref="C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2" s="2" t="str">
        <f>MID([1]Sheet1!F72,FIND("(",[1]Sheet1!F72)+1,FIND("-",[1]Sheet1!F72)-FIND("(",[1]Sheet1!F72)-1)</f>
        <v>江苏</v>
      </c>
      <c r="E72" s="2" t="str">
        <f>MID([1]Sheet1!F72,FIND("-",[1]Sheet1!F72)+1,FIND(")",[1]Sheet1!F72)-FIND("-",[1]Sheet1!F72)-1)</f>
        <v>扬州</v>
      </c>
      <c r="F72" s="2" t="s">
        <v>42</v>
      </c>
      <c r="G72" s="2" t="s">
        <v>32</v>
      </c>
      <c r="H72" s="2" t="s">
        <v>66</v>
      </c>
      <c r="I72" s="2" t="s">
        <v>51</v>
      </c>
      <c r="J72" s="2" t="s">
        <v>82</v>
      </c>
      <c r="K72" s="2" t="s">
        <v>217</v>
      </c>
      <c r="L72" s="2" t="s">
        <v>24</v>
      </c>
      <c r="M72" s="2" t="s">
        <v>36</v>
      </c>
      <c r="N72" s="2" t="s">
        <v>105</v>
      </c>
      <c r="O72" s="2" t="s">
        <v>178</v>
      </c>
      <c r="P72" s="2" t="s">
        <v>218</v>
      </c>
      <c r="Q72" s="2" t="s">
        <v>29</v>
      </c>
    </row>
    <row r="73" spans="1:17">
      <c r="A73" s="2" t="s">
        <v>219</v>
      </c>
      <c r="B73" s="2" t="str">
        <f>[1]Sheet1!M73</f>
        <v>男</v>
      </c>
      <c r="C73" s="3" t="str" cm="1">
        <f t="array" ref="C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3" s="2" t="str">
        <f>MID([1]Sheet1!F73,FIND("(",[1]Sheet1!F73)+1,FIND("-",[1]Sheet1!F73)-FIND("(",[1]Sheet1!F73)-1)</f>
        <v>河南</v>
      </c>
      <c r="E73" s="2" t="str">
        <f>MID([1]Sheet1!F73,FIND("-",[1]Sheet1!F73)+1,FIND(")",[1]Sheet1!F73)-FIND("-",[1]Sheet1!F73)-1)</f>
        <v>周口</v>
      </c>
      <c r="F73" s="2" t="s">
        <v>42</v>
      </c>
      <c r="G73" s="2" t="s">
        <v>81</v>
      </c>
      <c r="H73" s="2" t="s">
        <v>20</v>
      </c>
      <c r="I73" s="2" t="s">
        <v>21</v>
      </c>
      <c r="J73" s="2" t="s">
        <v>22</v>
      </c>
      <c r="K73" s="2" t="s">
        <v>125</v>
      </c>
      <c r="L73" s="2" t="s">
        <v>24</v>
      </c>
      <c r="M73" s="2" t="s">
        <v>111</v>
      </c>
      <c r="N73" s="2" t="s">
        <v>37</v>
      </c>
      <c r="O73" s="2" t="s">
        <v>58</v>
      </c>
      <c r="P73" s="2" t="s">
        <v>86</v>
      </c>
      <c r="Q73" s="2" t="s">
        <v>75</v>
      </c>
    </row>
    <row r="74" spans="1:17">
      <c r="A74" s="2" t="s">
        <v>220</v>
      </c>
      <c r="B74" s="2" t="str">
        <f>[1]Sheet1!M74</f>
        <v>男</v>
      </c>
      <c r="C74" s="3" t="str" cm="1">
        <f t="array" ref="C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4" s="2" t="str">
        <f>MID([1]Sheet1!F74,FIND("(",[1]Sheet1!F74)+1,FIND("-",[1]Sheet1!F74)-FIND("(",[1]Sheet1!F74)-1)</f>
        <v>山东</v>
      </c>
      <c r="E74" s="2" t="str">
        <f>MID([1]Sheet1!F74,FIND("-",[1]Sheet1!F74)+1,FIND(")",[1]Sheet1!F74)-FIND("-",[1]Sheet1!F74)-1)</f>
        <v>淄博</v>
      </c>
      <c r="F74" s="2" t="s">
        <v>31</v>
      </c>
      <c r="G74" s="2" t="s">
        <v>81</v>
      </c>
      <c r="H74" s="2" t="s">
        <v>66</v>
      </c>
      <c r="I74" s="2" t="s">
        <v>34</v>
      </c>
      <c r="J74" s="2" t="s">
        <v>44</v>
      </c>
      <c r="K74" s="2" t="s">
        <v>121</v>
      </c>
      <c r="L74" s="2" t="s">
        <v>83</v>
      </c>
      <c r="M74" s="2" t="s">
        <v>36</v>
      </c>
      <c r="N74" s="2" t="s">
        <v>85</v>
      </c>
      <c r="O74" s="2" t="s">
        <v>97</v>
      </c>
      <c r="P74" s="2" t="s">
        <v>218</v>
      </c>
      <c r="Q74" s="2" t="s">
        <v>29</v>
      </c>
    </row>
    <row r="75" spans="1:17">
      <c r="A75" s="2" t="s">
        <v>221</v>
      </c>
      <c r="B75" s="2" t="str">
        <f>[1]Sheet1!M75</f>
        <v>男</v>
      </c>
      <c r="C75" s="3" t="str" cm="1">
        <f t="array" ref="C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5" s="2" t="str">
        <f>MID([1]Sheet1!F75,FIND("(",[1]Sheet1!F75)+1,FIND("-",[1]Sheet1!F75)-FIND("(",[1]Sheet1!F75)-1)</f>
        <v>安徽</v>
      </c>
      <c r="E75" s="2" t="str">
        <f>MID([1]Sheet1!F75,FIND("-",[1]Sheet1!F75)+1,FIND(")",[1]Sheet1!F75)-FIND("-",[1]Sheet1!F75)-1)</f>
        <v>阜阳</v>
      </c>
      <c r="F75" s="2" t="s">
        <v>70</v>
      </c>
      <c r="G75" s="2" t="s">
        <v>114</v>
      </c>
      <c r="H75" s="2" t="s">
        <v>66</v>
      </c>
      <c r="I75" s="2" t="s">
        <v>120</v>
      </c>
      <c r="J75" s="2" t="s">
        <v>96</v>
      </c>
      <c r="K75" s="2" t="s">
        <v>121</v>
      </c>
      <c r="L75" s="2" t="s">
        <v>24</v>
      </c>
      <c r="M75" s="2" t="s">
        <v>78</v>
      </c>
      <c r="N75" s="2" t="s">
        <v>85</v>
      </c>
      <c r="O75" s="2" t="s">
        <v>122</v>
      </c>
      <c r="P75" s="2" t="s">
        <v>175</v>
      </c>
      <c r="Q75" s="2" t="s">
        <v>195</v>
      </c>
    </row>
    <row r="76" spans="1:17">
      <c r="A76" s="2" t="s">
        <v>222</v>
      </c>
      <c r="B76" s="2" t="str">
        <f>[1]Sheet1!M76</f>
        <v>男</v>
      </c>
      <c r="C76" s="3" t="str" cm="1">
        <f t="array" ref="C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6" s="2" t="str">
        <f>MID([1]Sheet1!F76,FIND("(",[1]Sheet1!F76)+1,FIND("-",[1]Sheet1!F76)-FIND("(",[1]Sheet1!F76)-1)</f>
        <v>北京</v>
      </c>
      <c r="E76" s="2" t="str">
        <f>MID([1]Sheet1!F76,FIND("-",[1]Sheet1!F76)+1,FIND(")",[1]Sheet1!F76)-FIND("-",[1]Sheet1!F76)-1)</f>
        <v>北京</v>
      </c>
      <c r="F76" s="2" t="s">
        <v>18</v>
      </c>
      <c r="G76" s="2" t="s">
        <v>114</v>
      </c>
      <c r="H76" s="2" t="s">
        <v>55</v>
      </c>
      <c r="I76" s="2" t="s">
        <v>43</v>
      </c>
      <c r="J76" s="2" t="s">
        <v>96</v>
      </c>
      <c r="K76" s="2" t="s">
        <v>223</v>
      </c>
      <c r="L76" s="2" t="s">
        <v>83</v>
      </c>
      <c r="M76" s="2" t="s">
        <v>36</v>
      </c>
      <c r="N76" s="2" t="s">
        <v>37</v>
      </c>
      <c r="O76" s="2" t="s">
        <v>27</v>
      </c>
      <c r="P76" s="2" t="s">
        <v>86</v>
      </c>
      <c r="Q76" s="2" t="s">
        <v>160</v>
      </c>
    </row>
    <row r="77" spans="1:17">
      <c r="A77" s="2" t="s">
        <v>224</v>
      </c>
      <c r="B77" s="2" t="str">
        <f>[1]Sheet1!M77</f>
        <v>男</v>
      </c>
      <c r="C77" s="3" t="str" cm="1">
        <f t="array" ref="C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7" s="2" t="str">
        <f>MID([1]Sheet1!F77,FIND("(",[1]Sheet1!F77)+1,FIND("-",[1]Sheet1!F77)-FIND("(",[1]Sheet1!F77)-1)</f>
        <v>云南</v>
      </c>
      <c r="E77" s="2" t="str">
        <f>MID([1]Sheet1!F77,FIND("-",[1]Sheet1!F77)+1,FIND(")",[1]Sheet1!F77)-FIND("-",[1]Sheet1!F77)-1)</f>
        <v>昆明</v>
      </c>
      <c r="F77" s="2" t="s">
        <v>42</v>
      </c>
      <c r="G77" s="2" t="s">
        <v>19</v>
      </c>
      <c r="H77" s="2" t="s">
        <v>33</v>
      </c>
      <c r="I77" s="2" t="s">
        <v>211</v>
      </c>
      <c r="J77" s="2" t="s">
        <v>44</v>
      </c>
      <c r="K77" s="2" t="s">
        <v>121</v>
      </c>
      <c r="L77" s="2" t="s">
        <v>24</v>
      </c>
      <c r="M77" s="2" t="s">
        <v>78</v>
      </c>
      <c r="N77" s="2" t="s">
        <v>37</v>
      </c>
      <c r="O77" s="2" t="s">
        <v>204</v>
      </c>
      <c r="P77" s="2" t="s">
        <v>39</v>
      </c>
      <c r="Q77" s="2" t="s">
        <v>101</v>
      </c>
    </row>
    <row r="78" spans="1:17">
      <c r="A78" s="2" t="s">
        <v>225</v>
      </c>
      <c r="B78" s="2" t="str">
        <f>[1]Sheet1!M78</f>
        <v>男</v>
      </c>
      <c r="C78" s="3" t="str" cm="1">
        <f t="array" ref="C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78" s="2" t="str">
        <f>MID([1]Sheet1!F78,FIND("(",[1]Sheet1!F78)+1,FIND("-",[1]Sheet1!F78)-FIND("(",[1]Sheet1!F78)-1)</f>
        <v>国外</v>
      </c>
      <c r="E78" s="2" t="str">
        <f>MID([1]Sheet1!F78,FIND("-",[1]Sheet1!F78)+1,FIND(")",[1]Sheet1!F78)-FIND("-",[1]Sheet1!F78)-1)</f>
        <v>哈萨克斯坦</v>
      </c>
      <c r="F78" s="2" t="s">
        <v>18</v>
      </c>
      <c r="G78" s="2" t="s">
        <v>32</v>
      </c>
      <c r="H78" s="2" t="s">
        <v>20</v>
      </c>
      <c r="I78" s="2" t="s">
        <v>120</v>
      </c>
      <c r="J78" s="2" t="s">
        <v>35</v>
      </c>
      <c r="K78" s="2" t="s">
        <v>117</v>
      </c>
      <c r="L78" s="2" t="s">
        <v>24</v>
      </c>
      <c r="M78" s="2" t="s">
        <v>126</v>
      </c>
      <c r="N78" s="2" t="s">
        <v>37</v>
      </c>
      <c r="O78" s="2" t="s">
        <v>58</v>
      </c>
      <c r="P78" s="2" t="s">
        <v>63</v>
      </c>
      <c r="Q78" s="2" t="s">
        <v>226</v>
      </c>
    </row>
    <row r="79" spans="1:17">
      <c r="A79" s="2" t="s">
        <v>227</v>
      </c>
      <c r="B79" s="2" t="str">
        <f>[1]Sheet1!M79</f>
        <v>男</v>
      </c>
      <c r="C79" s="3" t="str" cm="1">
        <f t="array" ref="C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9" s="2" t="str">
        <f>MID([1]Sheet1!F79,FIND("(",[1]Sheet1!F79)+1,FIND("-",[1]Sheet1!F79)-FIND("(",[1]Sheet1!F79)-1)</f>
        <v>广西</v>
      </c>
      <c r="E79" s="2" t="str">
        <f>MID([1]Sheet1!F79,FIND("-",[1]Sheet1!F79)+1,FIND(")",[1]Sheet1!F79)-FIND("-",[1]Sheet1!F79)-1)</f>
        <v>柳州</v>
      </c>
      <c r="F79" s="2" t="s">
        <v>18</v>
      </c>
      <c r="G79" s="2" t="s">
        <v>32</v>
      </c>
      <c r="H79" s="2" t="s">
        <v>20</v>
      </c>
      <c r="I79" s="2" t="s">
        <v>120</v>
      </c>
      <c r="J79" s="2" t="s">
        <v>82</v>
      </c>
      <c r="K79" s="2" t="s">
        <v>117</v>
      </c>
      <c r="L79" s="2" t="s">
        <v>83</v>
      </c>
      <c r="M79" s="2" t="s">
        <v>36</v>
      </c>
      <c r="N79" s="2" t="s">
        <v>46</v>
      </c>
      <c r="O79" s="2" t="s">
        <v>47</v>
      </c>
      <c r="P79" s="2" t="s">
        <v>39</v>
      </c>
      <c r="Q79" s="2" t="s">
        <v>48</v>
      </c>
    </row>
    <row r="80" spans="1:17">
      <c r="A80" s="2" t="s">
        <v>228</v>
      </c>
      <c r="B80" s="2" t="str">
        <f>[1]Sheet1!M80</f>
        <v>男</v>
      </c>
      <c r="C80" s="3" t="str" cm="1">
        <f t="array" ref="C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0" s="2" t="str">
        <f>MID([1]Sheet1!F80,FIND("(",[1]Sheet1!F80)+1,FIND("-",[1]Sheet1!F80)-FIND("(",[1]Sheet1!F80)-1)</f>
        <v>海南</v>
      </c>
      <c r="E80" s="2" t="str">
        <f>MID([1]Sheet1!F80,FIND("-",[1]Sheet1!F80)+1,FIND(")",[1]Sheet1!F80)-FIND("-",[1]Sheet1!F80)-1)</f>
        <v>海口</v>
      </c>
      <c r="F80" s="2" t="s">
        <v>42</v>
      </c>
      <c r="G80" s="2" t="s">
        <v>19</v>
      </c>
      <c r="H80" s="2" t="s">
        <v>66</v>
      </c>
      <c r="I80" s="2" t="s">
        <v>73</v>
      </c>
      <c r="J80" s="2" t="s">
        <v>56</v>
      </c>
      <c r="K80" s="2" t="s">
        <v>117</v>
      </c>
      <c r="L80" s="2" t="s">
        <v>24</v>
      </c>
      <c r="M80" s="2" t="s">
        <v>126</v>
      </c>
      <c r="N80" s="2" t="s">
        <v>37</v>
      </c>
      <c r="O80" s="2" t="s">
        <v>47</v>
      </c>
      <c r="P80" s="2" t="s">
        <v>175</v>
      </c>
      <c r="Q80" s="2" t="s">
        <v>29</v>
      </c>
    </row>
    <row r="81" spans="1:17">
      <c r="A81" s="2" t="s">
        <v>229</v>
      </c>
      <c r="B81" s="2" t="str">
        <f>[1]Sheet1!M81</f>
        <v>男</v>
      </c>
      <c r="C81" s="3" t="str" cm="1">
        <f t="array" ref="C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1" s="2" t="str">
        <f>MID([1]Sheet1!F81,FIND("(",[1]Sheet1!F81)+1,FIND("-",[1]Sheet1!F81)-FIND("(",[1]Sheet1!F81)-1)</f>
        <v>浙江</v>
      </c>
      <c r="E81" s="2" t="str">
        <f>MID([1]Sheet1!F81,FIND("-",[1]Sheet1!F81)+1,FIND(")",[1]Sheet1!F81)-FIND("-",[1]Sheet1!F81)-1)</f>
        <v>绍兴</v>
      </c>
      <c r="F81" s="2" t="s">
        <v>42</v>
      </c>
      <c r="G81" s="2" t="s">
        <v>50</v>
      </c>
      <c r="H81" s="2" t="s">
        <v>20</v>
      </c>
      <c r="I81" s="2" t="s">
        <v>51</v>
      </c>
      <c r="J81" s="2" t="s">
        <v>82</v>
      </c>
      <c r="K81" s="2" t="s">
        <v>115</v>
      </c>
      <c r="L81" s="2" t="s">
        <v>24</v>
      </c>
      <c r="M81" s="2" t="s">
        <v>143</v>
      </c>
      <c r="N81" s="2" t="s">
        <v>37</v>
      </c>
      <c r="O81" s="2" t="s">
        <v>58</v>
      </c>
      <c r="P81" s="2" t="s">
        <v>218</v>
      </c>
      <c r="Q81" s="2" t="s">
        <v>230</v>
      </c>
    </row>
    <row r="82" spans="1:17">
      <c r="A82" s="2" t="s">
        <v>231</v>
      </c>
      <c r="B82" s="2" t="str">
        <f>[1]Sheet1!M82</f>
        <v>女</v>
      </c>
      <c r="C82" s="3" t="str" cm="1">
        <f t="array" ref="C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2" s="2" t="str">
        <f>MID([1]Sheet1!F82,FIND("(",[1]Sheet1!F82)+1,FIND("-",[1]Sheet1!F82)-FIND("(",[1]Sheet1!F82)-1)</f>
        <v>广西</v>
      </c>
      <c r="E82" s="2" t="str">
        <f>MID([1]Sheet1!F82,FIND("-",[1]Sheet1!F82)+1,FIND(")",[1]Sheet1!F82)-FIND("-",[1]Sheet1!F82)-1)</f>
        <v>柳州</v>
      </c>
      <c r="F82" s="2" t="s">
        <v>88</v>
      </c>
      <c r="G82" s="2" t="s">
        <v>50</v>
      </c>
      <c r="H82" s="2" t="s">
        <v>66</v>
      </c>
      <c r="I82" s="2" t="s">
        <v>73</v>
      </c>
      <c r="J82" s="2" t="s">
        <v>82</v>
      </c>
      <c r="K82" s="2" t="s">
        <v>223</v>
      </c>
      <c r="L82" s="2" t="s">
        <v>24</v>
      </c>
      <c r="M82" s="2" t="s">
        <v>78</v>
      </c>
      <c r="N82" s="2" t="s">
        <v>46</v>
      </c>
      <c r="O82" s="2" t="s">
        <v>58</v>
      </c>
      <c r="P82" s="2" t="s">
        <v>63</v>
      </c>
      <c r="Q82" s="2" t="s">
        <v>48</v>
      </c>
    </row>
    <row r="83" spans="1:17">
      <c r="A83" s="2" t="s">
        <v>232</v>
      </c>
      <c r="B83" s="2" t="str">
        <f>[1]Sheet1!M83</f>
        <v>男</v>
      </c>
      <c r="C83" s="3" t="str" cm="1">
        <f t="array" ref="C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3" s="2" t="str">
        <f>MID([1]Sheet1!F83,FIND("(",[1]Sheet1!F83)+1,FIND("-",[1]Sheet1!F83)-FIND("(",[1]Sheet1!F83)-1)</f>
        <v>河南</v>
      </c>
      <c r="E83" s="2" t="str">
        <f>MID([1]Sheet1!F83,FIND("-",[1]Sheet1!F83)+1,FIND(")",[1]Sheet1!F83)-FIND("-",[1]Sheet1!F83)-1)</f>
        <v>郑州</v>
      </c>
      <c r="F83" s="2" t="s">
        <v>31</v>
      </c>
      <c r="G83" s="2" t="s">
        <v>50</v>
      </c>
      <c r="H83" s="2" t="s">
        <v>66</v>
      </c>
      <c r="I83" s="2" t="s">
        <v>21</v>
      </c>
      <c r="J83" s="2" t="s">
        <v>56</v>
      </c>
      <c r="K83" s="2" t="s">
        <v>130</v>
      </c>
      <c r="L83" s="2" t="s">
        <v>24</v>
      </c>
      <c r="M83" s="2" t="s">
        <v>36</v>
      </c>
      <c r="N83" s="2" t="s">
        <v>85</v>
      </c>
      <c r="O83" s="2" t="s">
        <v>89</v>
      </c>
      <c r="P83" s="2" t="s">
        <v>179</v>
      </c>
      <c r="Q83" s="2" t="s">
        <v>60</v>
      </c>
    </row>
    <row r="84" spans="1:17">
      <c r="A84" s="2" t="s">
        <v>233</v>
      </c>
      <c r="B84" s="2" t="str">
        <f>[1]Sheet1!M84</f>
        <v>男</v>
      </c>
      <c r="C84" s="3" t="str" cm="1">
        <f t="array" ref="C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4" s="2" t="str">
        <f>MID([1]Sheet1!F84,FIND("(",[1]Sheet1!F84)+1,FIND("-",[1]Sheet1!F84)-FIND("(",[1]Sheet1!F84)-1)</f>
        <v>安徽</v>
      </c>
      <c r="E84" s="2" t="str">
        <f>MID([1]Sheet1!F84,FIND("-",[1]Sheet1!F84)+1,FIND(")",[1]Sheet1!F84)-FIND("-",[1]Sheet1!F84)-1)</f>
        <v>合肥</v>
      </c>
      <c r="F84" s="2" t="s">
        <v>159</v>
      </c>
      <c r="G84" s="2" t="s">
        <v>32</v>
      </c>
      <c r="H84" s="2" t="s">
        <v>66</v>
      </c>
      <c r="I84" s="2" t="s">
        <v>120</v>
      </c>
      <c r="J84" s="2" t="s">
        <v>56</v>
      </c>
      <c r="K84" s="2" t="s">
        <v>117</v>
      </c>
      <c r="L84" s="2" t="s">
        <v>24</v>
      </c>
      <c r="M84" s="2" t="s">
        <v>92</v>
      </c>
      <c r="N84" s="2" t="s">
        <v>46</v>
      </c>
      <c r="O84" s="2" t="s">
        <v>199</v>
      </c>
      <c r="P84" s="2" t="s">
        <v>39</v>
      </c>
      <c r="Q84" s="2" t="s">
        <v>103</v>
      </c>
    </row>
    <row r="85" spans="1:17">
      <c r="A85" s="2" t="s">
        <v>234</v>
      </c>
      <c r="B85" s="2" t="str">
        <f>[1]Sheet1!M85</f>
        <v>男</v>
      </c>
      <c r="C85" s="3" t="str" cm="1">
        <f t="array" ref="C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5" s="2" t="str">
        <f>MID([1]Sheet1!F85,FIND("(",[1]Sheet1!F85)+1,FIND("-",[1]Sheet1!F85)-FIND("(",[1]Sheet1!F85)-1)</f>
        <v>海南</v>
      </c>
      <c r="E85" s="2" t="str">
        <f>MID([1]Sheet1!F85,FIND("-",[1]Sheet1!F85)+1,FIND(")",[1]Sheet1!F85)-FIND("-",[1]Sheet1!F85)-1)</f>
        <v>海口</v>
      </c>
      <c r="F85" s="2" t="s">
        <v>18</v>
      </c>
      <c r="G85" s="2" t="s">
        <v>32</v>
      </c>
      <c r="H85" s="2" t="s">
        <v>66</v>
      </c>
      <c r="I85" s="2" t="s">
        <v>43</v>
      </c>
      <c r="J85" s="2" t="s">
        <v>82</v>
      </c>
      <c r="K85" s="2" t="s">
        <v>130</v>
      </c>
      <c r="L85" s="2" t="s">
        <v>24</v>
      </c>
      <c r="M85" s="2" t="s">
        <v>143</v>
      </c>
      <c r="N85" s="2" t="s">
        <v>37</v>
      </c>
      <c r="O85" s="2" t="s">
        <v>235</v>
      </c>
      <c r="P85" s="2" t="s">
        <v>39</v>
      </c>
      <c r="Q85" s="2" t="s">
        <v>103</v>
      </c>
    </row>
    <row r="86" spans="1:17">
      <c r="A86" s="2" t="s">
        <v>236</v>
      </c>
      <c r="B86" s="2" t="str">
        <f>[1]Sheet1!M86</f>
        <v>男</v>
      </c>
      <c r="C86" s="3" t="str" cm="1">
        <f t="array" ref="C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6" s="2" t="str">
        <f>MID([1]Sheet1!F86,FIND("(",[1]Sheet1!F86)+1,FIND("-",[1]Sheet1!F86)-FIND("(",[1]Sheet1!F86)-1)</f>
        <v>浙江</v>
      </c>
      <c r="E86" s="2" t="str">
        <f>MID([1]Sheet1!F86,FIND("-",[1]Sheet1!F86)+1,FIND(")",[1]Sheet1!F86)-FIND("-",[1]Sheet1!F86)-1)</f>
        <v>绍兴</v>
      </c>
      <c r="F86" s="2" t="s">
        <v>42</v>
      </c>
      <c r="G86" s="2" t="s">
        <v>32</v>
      </c>
      <c r="H86" s="2" t="s">
        <v>20</v>
      </c>
      <c r="I86" s="2" t="s">
        <v>43</v>
      </c>
      <c r="J86" s="2" t="s">
        <v>82</v>
      </c>
      <c r="K86" s="2" t="s">
        <v>130</v>
      </c>
      <c r="L86" s="2" t="s">
        <v>24</v>
      </c>
      <c r="M86" s="2" t="s">
        <v>36</v>
      </c>
      <c r="N86" s="2" t="s">
        <v>37</v>
      </c>
      <c r="O86" s="2" t="s">
        <v>47</v>
      </c>
      <c r="P86" s="2" t="s">
        <v>59</v>
      </c>
      <c r="Q86" s="2" t="s">
        <v>29</v>
      </c>
    </row>
    <row r="87" spans="1:17">
      <c r="A87" s="2" t="s">
        <v>237</v>
      </c>
      <c r="B87" s="2" t="str">
        <f>[1]Sheet1!M87</f>
        <v>男</v>
      </c>
      <c r="C87" s="3" t="str" cm="1">
        <f t="array" ref="C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7" s="2" t="str">
        <f>MID([1]Sheet1!F87,FIND("(",[1]Sheet1!F87)+1,FIND("-",[1]Sheet1!F87)-FIND("(",[1]Sheet1!F87)-1)</f>
        <v>四川</v>
      </c>
      <c r="E87" s="2" t="str">
        <f>MID([1]Sheet1!F87,FIND("-",[1]Sheet1!F87)+1,FIND(")",[1]Sheet1!F87)-FIND("-",[1]Sheet1!F87)-1)</f>
        <v>成都</v>
      </c>
      <c r="F87" s="2" t="s">
        <v>31</v>
      </c>
      <c r="G87" s="2" t="s">
        <v>81</v>
      </c>
      <c r="H87" s="2" t="s">
        <v>20</v>
      </c>
      <c r="I87" s="2" t="s">
        <v>34</v>
      </c>
      <c r="J87" s="2" t="s">
        <v>82</v>
      </c>
      <c r="K87" s="2" t="s">
        <v>117</v>
      </c>
      <c r="L87" s="2" t="s">
        <v>24</v>
      </c>
      <c r="M87" s="2" t="s">
        <v>57</v>
      </c>
      <c r="N87" s="2" t="s">
        <v>37</v>
      </c>
      <c r="O87" s="2" t="s">
        <v>27</v>
      </c>
      <c r="P87" s="2" t="s">
        <v>86</v>
      </c>
      <c r="Q87" s="2" t="s">
        <v>238</v>
      </c>
    </row>
    <row r="88" spans="1:17">
      <c r="A88" s="2" t="s">
        <v>239</v>
      </c>
      <c r="B88" s="2" t="str">
        <f>[1]Sheet1!M88</f>
        <v>女</v>
      </c>
      <c r="C88" s="3" t="str" cm="1">
        <f t="array" ref="C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8" s="2" t="str">
        <f>MID([1]Sheet1!F88,FIND("(",[1]Sheet1!F88)+1,FIND("-",[1]Sheet1!F88)-FIND("(",[1]Sheet1!F88)-1)</f>
        <v>广西</v>
      </c>
      <c r="E88" s="2" t="str">
        <f>MID([1]Sheet1!F88,FIND("-",[1]Sheet1!F88)+1,FIND(")",[1]Sheet1!F88)-FIND("-",[1]Sheet1!F88)-1)</f>
        <v>柳州</v>
      </c>
      <c r="F88" s="2" t="s">
        <v>42</v>
      </c>
      <c r="G88" s="2" t="s">
        <v>162</v>
      </c>
      <c r="H88" s="2" t="s">
        <v>66</v>
      </c>
      <c r="I88" s="2" t="s">
        <v>73</v>
      </c>
      <c r="J88" s="2" t="s">
        <v>77</v>
      </c>
      <c r="K88" s="2" t="s">
        <v>240</v>
      </c>
      <c r="L88" s="2" t="s">
        <v>83</v>
      </c>
      <c r="M88" s="2" t="s">
        <v>25</v>
      </c>
      <c r="N88" s="2" t="s">
        <v>37</v>
      </c>
      <c r="O88" s="2" t="s">
        <v>47</v>
      </c>
      <c r="P88" s="2" t="s">
        <v>218</v>
      </c>
      <c r="Q88" s="2" t="s">
        <v>48</v>
      </c>
    </row>
    <row r="89" spans="1:17">
      <c r="A89" s="2" t="s">
        <v>241</v>
      </c>
      <c r="B89" s="2" t="str">
        <f>[1]Sheet1!M89</f>
        <v>男</v>
      </c>
      <c r="C89" s="3" t="str" cm="1">
        <f t="array" ref="C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9" s="2" t="str">
        <f>MID([1]Sheet1!F89,FIND("(",[1]Sheet1!F89)+1,FIND("-",[1]Sheet1!F89)-FIND("(",[1]Sheet1!F89)-1)</f>
        <v>浙江</v>
      </c>
      <c r="E89" s="2" t="str">
        <f>MID([1]Sheet1!F89,FIND("-",[1]Sheet1!F89)+1,FIND(")",[1]Sheet1!F89)-FIND("-",[1]Sheet1!F89)-1)</f>
        <v>杭州</v>
      </c>
      <c r="F89" s="2" t="s">
        <v>70</v>
      </c>
      <c r="G89" s="2" t="s">
        <v>81</v>
      </c>
      <c r="H89" s="2" t="s">
        <v>66</v>
      </c>
      <c r="I89" s="2" t="s">
        <v>51</v>
      </c>
      <c r="J89" s="2" t="s">
        <v>56</v>
      </c>
      <c r="K89" s="2" t="s">
        <v>137</v>
      </c>
      <c r="L89" s="2" t="s">
        <v>24</v>
      </c>
      <c r="M89" s="2" t="s">
        <v>143</v>
      </c>
      <c r="N89" s="2" t="s">
        <v>46</v>
      </c>
      <c r="O89" s="2" t="s">
        <v>47</v>
      </c>
      <c r="P89" s="2" t="s">
        <v>59</v>
      </c>
      <c r="Q89" s="2" t="s">
        <v>48</v>
      </c>
    </row>
    <row r="90" spans="1:17">
      <c r="A90" s="2" t="s">
        <v>242</v>
      </c>
      <c r="B90" s="2" t="str">
        <f>[1]Sheet1!M90</f>
        <v>男</v>
      </c>
      <c r="C90" s="3" t="str" cm="1">
        <f t="array" ref="C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0" s="2" t="str">
        <f>MID([1]Sheet1!F90,FIND("(",[1]Sheet1!F90)+1,FIND("-",[1]Sheet1!F90)-FIND("(",[1]Sheet1!F90)-1)</f>
        <v>天津</v>
      </c>
      <c r="E90" s="2" t="str">
        <f>MID([1]Sheet1!F90,FIND("-",[1]Sheet1!F90)+1,FIND(")",[1]Sheet1!F90)-FIND("-",[1]Sheet1!F90)-1)</f>
        <v>天津</v>
      </c>
      <c r="F90" s="2" t="s">
        <v>70</v>
      </c>
      <c r="G90" s="2" t="s">
        <v>50</v>
      </c>
      <c r="H90" s="2" t="s">
        <v>20</v>
      </c>
      <c r="I90" s="2" t="s">
        <v>51</v>
      </c>
      <c r="J90" s="2" t="s">
        <v>82</v>
      </c>
      <c r="K90" s="2" t="s">
        <v>217</v>
      </c>
      <c r="L90" s="2" t="s">
        <v>24</v>
      </c>
      <c r="M90" s="2" t="s">
        <v>126</v>
      </c>
      <c r="N90" s="2" t="s">
        <v>37</v>
      </c>
      <c r="O90" s="2" t="s">
        <v>204</v>
      </c>
      <c r="P90" s="2" t="s">
        <v>218</v>
      </c>
      <c r="Q90" s="2" t="s">
        <v>123</v>
      </c>
    </row>
    <row r="91" spans="1:17">
      <c r="A91" s="2" t="s">
        <v>243</v>
      </c>
      <c r="B91" s="2" t="str">
        <f>[1]Sheet1!M91</f>
        <v>男</v>
      </c>
      <c r="C91" s="3" t="str" cm="1">
        <f t="array" ref="C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1" s="2" t="str">
        <f>MID([1]Sheet1!F91,FIND("(",[1]Sheet1!F91)+1,FIND("-",[1]Sheet1!F91)-FIND("(",[1]Sheet1!F91)-1)</f>
        <v>河南</v>
      </c>
      <c r="E91" s="2" t="str">
        <f>MID([1]Sheet1!F91,FIND("-",[1]Sheet1!F91)+1,FIND(")",[1]Sheet1!F91)-FIND("-",[1]Sheet1!F91)-1)</f>
        <v>郑州</v>
      </c>
      <c r="F91" s="2" t="s">
        <v>159</v>
      </c>
      <c r="G91" s="2" t="s">
        <v>81</v>
      </c>
      <c r="H91" s="2" t="s">
        <v>66</v>
      </c>
      <c r="I91" s="2" t="s">
        <v>73</v>
      </c>
      <c r="J91" s="2" t="s">
        <v>82</v>
      </c>
      <c r="K91" s="2" t="s">
        <v>121</v>
      </c>
      <c r="L91" s="2" t="s">
        <v>24</v>
      </c>
      <c r="M91" s="2" t="s">
        <v>36</v>
      </c>
      <c r="N91" s="2" t="s">
        <v>37</v>
      </c>
      <c r="O91" s="2" t="s">
        <v>58</v>
      </c>
      <c r="P91" s="2" t="s">
        <v>39</v>
      </c>
      <c r="Q91" s="2" t="s">
        <v>244</v>
      </c>
    </row>
    <row r="92" spans="1:17">
      <c r="A92" s="2" t="s">
        <v>245</v>
      </c>
      <c r="B92" s="2" t="str">
        <f>[1]Sheet1!M92</f>
        <v>男</v>
      </c>
      <c r="C92" s="3" t="str" cm="1">
        <f t="array" ref="C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2" s="2" t="str">
        <f>MID([1]Sheet1!F92,FIND("(",[1]Sheet1!F92)+1,FIND("-",[1]Sheet1!F92)-FIND("(",[1]Sheet1!F92)-1)</f>
        <v>山东</v>
      </c>
      <c r="E92" s="2" t="str">
        <f>MID([1]Sheet1!F92,FIND("-",[1]Sheet1!F92)+1,FIND(")",[1]Sheet1!F92)-FIND("-",[1]Sheet1!F92)-1)</f>
        <v>济南</v>
      </c>
      <c r="F92" s="2" t="s">
        <v>42</v>
      </c>
      <c r="G92" s="2" t="s">
        <v>81</v>
      </c>
      <c r="H92" s="2" t="s">
        <v>20</v>
      </c>
      <c r="I92" s="2" t="s">
        <v>43</v>
      </c>
      <c r="J92" s="2" t="s">
        <v>22</v>
      </c>
      <c r="K92" s="2" t="s">
        <v>117</v>
      </c>
      <c r="L92" s="2" t="s">
        <v>24</v>
      </c>
      <c r="M92" s="2" t="s">
        <v>67</v>
      </c>
      <c r="N92" s="2" t="s">
        <v>37</v>
      </c>
      <c r="O92" s="2" t="s">
        <v>27</v>
      </c>
      <c r="P92" s="2" t="s">
        <v>28</v>
      </c>
      <c r="Q92" s="2" t="s">
        <v>246</v>
      </c>
    </row>
    <row r="93" spans="1:17">
      <c r="A93" s="2" t="s">
        <v>247</v>
      </c>
      <c r="B93" s="2" t="str">
        <f>[1]Sheet1!M93</f>
        <v>男</v>
      </c>
      <c r="C93" s="3" t="str" cm="1">
        <f t="array" ref="C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3" s="2" t="str">
        <f>MID([1]Sheet1!F93,FIND("(",[1]Sheet1!F93)+1,FIND("-",[1]Sheet1!F93)-FIND("(",[1]Sheet1!F93)-1)</f>
        <v>浙江</v>
      </c>
      <c r="E93" s="2" t="str">
        <f>MID([1]Sheet1!F93,FIND("-",[1]Sheet1!F93)+1,FIND(")",[1]Sheet1!F93)-FIND("-",[1]Sheet1!F93)-1)</f>
        <v>金华</v>
      </c>
      <c r="F93" s="2" t="s">
        <v>42</v>
      </c>
      <c r="G93" s="2" t="s">
        <v>32</v>
      </c>
      <c r="H93" s="2" t="s">
        <v>20</v>
      </c>
      <c r="I93" s="2" t="s">
        <v>73</v>
      </c>
      <c r="J93" s="2" t="s">
        <v>77</v>
      </c>
      <c r="K93" s="2" t="s">
        <v>121</v>
      </c>
      <c r="L93" s="2" t="s">
        <v>24</v>
      </c>
      <c r="M93" s="2" t="s">
        <v>36</v>
      </c>
      <c r="N93" s="2" t="s">
        <v>26</v>
      </c>
      <c r="O93" s="2" t="s">
        <v>89</v>
      </c>
      <c r="P93" s="2" t="s">
        <v>85</v>
      </c>
      <c r="Q93" s="2" t="s">
        <v>248</v>
      </c>
    </row>
    <row r="94" spans="1:17">
      <c r="A94" s="2" t="s">
        <v>249</v>
      </c>
      <c r="B94" s="2" t="str">
        <f>[1]Sheet1!M94</f>
        <v>男</v>
      </c>
      <c r="C94" s="3" t="str" cm="1">
        <f t="array" ref="C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4" s="2" t="str">
        <f>MID([1]Sheet1!F94,FIND("(",[1]Sheet1!F94)+1,FIND("-",[1]Sheet1!F94)-FIND("(",[1]Sheet1!F94)-1)</f>
        <v>北京</v>
      </c>
      <c r="E94" s="2" t="str">
        <f>MID([1]Sheet1!F94,FIND("-",[1]Sheet1!F94)+1,FIND(")",[1]Sheet1!F94)-FIND("-",[1]Sheet1!F94)-1)</f>
        <v>北京</v>
      </c>
      <c r="F94" s="2" t="s">
        <v>159</v>
      </c>
      <c r="G94" s="2" t="s">
        <v>32</v>
      </c>
      <c r="H94" s="2" t="s">
        <v>250</v>
      </c>
      <c r="I94" s="2" t="s">
        <v>211</v>
      </c>
      <c r="J94" s="2" t="s">
        <v>56</v>
      </c>
      <c r="K94" s="2" t="s">
        <v>240</v>
      </c>
      <c r="L94" s="2" t="s">
        <v>24</v>
      </c>
      <c r="M94" s="2" t="s">
        <v>78</v>
      </c>
      <c r="N94" s="2" t="s">
        <v>85</v>
      </c>
      <c r="O94" s="2" t="s">
        <v>58</v>
      </c>
      <c r="P94" s="2" t="s">
        <v>63</v>
      </c>
      <c r="Q94" s="2" t="s">
        <v>251</v>
      </c>
    </row>
    <row r="95" spans="1:17">
      <c r="A95" s="2" t="s">
        <v>252</v>
      </c>
      <c r="B95" s="2" t="str">
        <f>[1]Sheet1!M95</f>
        <v>男</v>
      </c>
      <c r="C95" s="3" t="str" cm="1">
        <f t="array" ref="C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5" s="2" t="str">
        <f>MID([1]Sheet1!F95,FIND("(",[1]Sheet1!F95)+1,FIND("-",[1]Sheet1!F95)-FIND("(",[1]Sheet1!F95)-1)</f>
        <v>浙江</v>
      </c>
      <c r="E95" s="2" t="str">
        <f>MID([1]Sheet1!F95,FIND("-",[1]Sheet1!F95)+1,FIND(")",[1]Sheet1!F95)-FIND("-",[1]Sheet1!F95)-1)</f>
        <v>金华</v>
      </c>
      <c r="F95" s="2" t="s">
        <v>31</v>
      </c>
      <c r="G95" s="2" t="s">
        <v>50</v>
      </c>
      <c r="H95" s="2" t="s">
        <v>20</v>
      </c>
      <c r="I95" s="2" t="s">
        <v>51</v>
      </c>
      <c r="J95" s="2" t="s">
        <v>44</v>
      </c>
      <c r="K95" s="2" t="s">
        <v>137</v>
      </c>
      <c r="L95" s="2" t="s">
        <v>24</v>
      </c>
      <c r="M95" s="2" t="s">
        <v>126</v>
      </c>
      <c r="N95" s="2" t="s">
        <v>37</v>
      </c>
      <c r="O95" s="2" t="s">
        <v>89</v>
      </c>
      <c r="P95" s="2" t="s">
        <v>59</v>
      </c>
      <c r="Q95" s="2" t="s">
        <v>75</v>
      </c>
    </row>
    <row r="96" spans="1:17">
      <c r="A96" s="2" t="s">
        <v>253</v>
      </c>
      <c r="B96" s="2" t="str">
        <f>[1]Sheet1!M96</f>
        <v>男</v>
      </c>
      <c r="C96" s="3" t="str" cm="1">
        <f t="array" ref="C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6" s="2" t="str">
        <f>MID([1]Sheet1!F96,FIND("(",[1]Sheet1!F96)+1,FIND("-",[1]Sheet1!F96)-FIND("(",[1]Sheet1!F96)-1)</f>
        <v>河北</v>
      </c>
      <c r="E96" s="2" t="str">
        <f>MID([1]Sheet1!F96,FIND("-",[1]Sheet1!F96)+1,FIND(")",[1]Sheet1!F96)-FIND("-",[1]Sheet1!F96)-1)</f>
        <v>邯郸</v>
      </c>
      <c r="F96" s="2" t="s">
        <v>42</v>
      </c>
      <c r="G96" s="2" t="s">
        <v>19</v>
      </c>
      <c r="H96" s="2" t="s">
        <v>66</v>
      </c>
      <c r="I96" s="2" t="s">
        <v>73</v>
      </c>
      <c r="J96" s="2" t="s">
        <v>82</v>
      </c>
      <c r="K96" s="2" t="s">
        <v>117</v>
      </c>
      <c r="L96" s="2" t="s">
        <v>24</v>
      </c>
      <c r="M96" s="2" t="s">
        <v>78</v>
      </c>
      <c r="N96" s="2" t="s">
        <v>37</v>
      </c>
      <c r="O96" s="2" t="s">
        <v>47</v>
      </c>
      <c r="P96" s="2" t="s">
        <v>39</v>
      </c>
      <c r="Q96" s="2" t="s">
        <v>75</v>
      </c>
    </row>
    <row r="97" spans="1:17">
      <c r="A97" s="2" t="s">
        <v>254</v>
      </c>
      <c r="B97" s="2" t="str">
        <f>[1]Sheet1!M97</f>
        <v>男</v>
      </c>
      <c r="C97" s="3" t="str" cm="1">
        <f t="array" ref="C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7" s="2" t="str">
        <f>MID([1]Sheet1!F97,FIND("(",[1]Sheet1!F97)+1,FIND("-",[1]Sheet1!F97)-FIND("(",[1]Sheet1!F97)-1)</f>
        <v>浙江</v>
      </c>
      <c r="E97" s="2" t="str">
        <f>MID([1]Sheet1!F97,FIND("-",[1]Sheet1!F97)+1,FIND(")",[1]Sheet1!F97)-FIND("-",[1]Sheet1!F97)-1)</f>
        <v>金华</v>
      </c>
      <c r="F97" s="2" t="s">
        <v>42</v>
      </c>
      <c r="G97" s="2" t="s">
        <v>50</v>
      </c>
      <c r="H97" s="2" t="s">
        <v>20</v>
      </c>
      <c r="I97" s="2" t="s">
        <v>211</v>
      </c>
      <c r="J97" s="2" t="s">
        <v>44</v>
      </c>
      <c r="K97" s="2" t="s">
        <v>130</v>
      </c>
      <c r="L97" s="2" t="s">
        <v>24</v>
      </c>
      <c r="M97" s="2" t="s">
        <v>67</v>
      </c>
      <c r="N97" s="2" t="s">
        <v>37</v>
      </c>
      <c r="O97" s="2" t="s">
        <v>27</v>
      </c>
      <c r="P97" s="2" t="s">
        <v>39</v>
      </c>
      <c r="Q97" s="2" t="s">
        <v>48</v>
      </c>
    </row>
    <row r="98" spans="1:17">
      <c r="A98" s="2" t="s">
        <v>255</v>
      </c>
      <c r="B98" s="2" t="str">
        <f>[1]Sheet1!M98</f>
        <v>男</v>
      </c>
      <c r="C98" s="3" t="str" cm="1">
        <f t="array" ref="C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8" s="2" t="str">
        <f>MID([1]Sheet1!F98,FIND("(",[1]Sheet1!F98)+1,FIND("-",[1]Sheet1!F98)-FIND("(",[1]Sheet1!F98)-1)</f>
        <v>浙江</v>
      </c>
      <c r="E98" s="2" t="str">
        <f>MID([1]Sheet1!F98,FIND("-",[1]Sheet1!F98)+1,FIND(")",[1]Sheet1!F98)-FIND("-",[1]Sheet1!F98)-1)</f>
        <v>金华</v>
      </c>
      <c r="F98" s="2" t="s">
        <v>42</v>
      </c>
      <c r="G98" s="2" t="s">
        <v>32</v>
      </c>
      <c r="H98" s="2" t="s">
        <v>20</v>
      </c>
      <c r="I98" s="2" t="s">
        <v>43</v>
      </c>
      <c r="J98" s="2" t="s">
        <v>82</v>
      </c>
      <c r="K98" s="2" t="s">
        <v>130</v>
      </c>
      <c r="L98" s="2" t="s">
        <v>24</v>
      </c>
      <c r="M98" s="2" t="s">
        <v>67</v>
      </c>
      <c r="N98" s="2" t="s">
        <v>37</v>
      </c>
      <c r="O98" s="2" t="s">
        <v>256</v>
      </c>
      <c r="P98" s="2" t="s">
        <v>39</v>
      </c>
      <c r="Q98" s="2" t="s">
        <v>75</v>
      </c>
    </row>
    <row r="99" spans="1:17">
      <c r="A99" s="2" t="s">
        <v>257</v>
      </c>
      <c r="B99" s="2" t="str">
        <f>[1]Sheet1!M99</f>
        <v>男</v>
      </c>
      <c r="C99" s="3" t="str" cm="1">
        <f t="array" ref="C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9" s="2" t="str">
        <f>MID([1]Sheet1!F99,FIND("(",[1]Sheet1!F99)+1,FIND("-",[1]Sheet1!F99)-FIND("(",[1]Sheet1!F99)-1)</f>
        <v>湖北</v>
      </c>
      <c r="E99" s="2" t="str">
        <f>MID([1]Sheet1!F99,FIND("-",[1]Sheet1!F99)+1,FIND(")",[1]Sheet1!F99)-FIND("-",[1]Sheet1!F99)-1)</f>
        <v>孝感</v>
      </c>
      <c r="F99" s="2" t="s">
        <v>42</v>
      </c>
      <c r="G99" s="2" t="s">
        <v>19</v>
      </c>
      <c r="H99" s="2" t="s">
        <v>66</v>
      </c>
      <c r="I99" s="2" t="s">
        <v>34</v>
      </c>
      <c r="J99" s="2" t="s">
        <v>56</v>
      </c>
      <c r="K99" s="2" t="s">
        <v>117</v>
      </c>
      <c r="L99" s="2" t="s">
        <v>24</v>
      </c>
      <c r="M99" s="2" t="s">
        <v>45</v>
      </c>
      <c r="N99" s="2" t="s">
        <v>37</v>
      </c>
      <c r="O99" s="2" t="s">
        <v>89</v>
      </c>
      <c r="P99" s="2" t="s">
        <v>39</v>
      </c>
      <c r="Q99" s="2" t="s">
        <v>133</v>
      </c>
    </row>
    <row r="100" spans="1:17">
      <c r="A100" s="2" t="s">
        <v>258</v>
      </c>
      <c r="B100" s="2" t="str">
        <f>[1]Sheet1!M100</f>
        <v>男</v>
      </c>
      <c r="C100" s="3" t="str" cm="1">
        <f t="array" ref="C1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0" s="2" t="str">
        <f>MID([1]Sheet1!F100,FIND("(",[1]Sheet1!F100)+1,FIND("-",[1]Sheet1!F100)-FIND("(",[1]Sheet1!F100)-1)</f>
        <v>湖北</v>
      </c>
      <c r="E100" s="2" t="str">
        <f>MID([1]Sheet1!F100,FIND("-",[1]Sheet1!F100)+1,FIND(")",[1]Sheet1!F100)-FIND("-",[1]Sheet1!F100)-1)</f>
        <v>武汉</v>
      </c>
      <c r="F100" s="2" t="s">
        <v>31</v>
      </c>
      <c r="G100" s="2" t="s">
        <v>32</v>
      </c>
      <c r="H100" s="2" t="s">
        <v>66</v>
      </c>
      <c r="I100" s="2" t="s">
        <v>73</v>
      </c>
      <c r="J100" s="2" t="s">
        <v>82</v>
      </c>
      <c r="K100" s="2" t="s">
        <v>125</v>
      </c>
      <c r="L100" s="2" t="s">
        <v>24</v>
      </c>
      <c r="M100" s="2" t="s">
        <v>36</v>
      </c>
      <c r="N100" s="2" t="s">
        <v>85</v>
      </c>
      <c r="O100" s="2" t="s">
        <v>122</v>
      </c>
      <c r="P100" s="2" t="s">
        <v>28</v>
      </c>
      <c r="Q100" s="2" t="s">
        <v>259</v>
      </c>
    </row>
    <row r="101" spans="1:17">
      <c r="A101" s="2" t="s">
        <v>260</v>
      </c>
      <c r="B101" s="2" t="str">
        <f>[1]Sheet1!M101</f>
        <v>男</v>
      </c>
      <c r="C101" s="3" t="str" cm="1">
        <f t="array" ref="C1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1" s="2" t="str">
        <f>MID([1]Sheet1!F101,FIND("(",[1]Sheet1!F101)+1,FIND("-",[1]Sheet1!F101)-FIND("(",[1]Sheet1!F101)-1)</f>
        <v>北京</v>
      </c>
      <c r="E101" s="2" t="str">
        <f>MID([1]Sheet1!F101,FIND("-",[1]Sheet1!F101)+1,FIND(")",[1]Sheet1!F101)-FIND("-",[1]Sheet1!F101)-1)</f>
        <v>北京</v>
      </c>
      <c r="F101" s="2" t="s">
        <v>31</v>
      </c>
      <c r="G101" s="2" t="s">
        <v>32</v>
      </c>
      <c r="H101" s="2" t="s">
        <v>66</v>
      </c>
      <c r="I101" s="2" t="s">
        <v>21</v>
      </c>
      <c r="J101" s="2" t="s">
        <v>56</v>
      </c>
      <c r="K101" s="2" t="s">
        <v>130</v>
      </c>
      <c r="L101" s="2" t="s">
        <v>83</v>
      </c>
      <c r="M101" s="2" t="s">
        <v>143</v>
      </c>
      <c r="N101" s="2" t="s">
        <v>46</v>
      </c>
      <c r="O101" s="2" t="s">
        <v>47</v>
      </c>
      <c r="P101" s="2" t="s">
        <v>28</v>
      </c>
      <c r="Q101" s="2" t="s">
        <v>261</v>
      </c>
    </row>
    <row r="102" spans="1:17">
      <c r="A102" s="2" t="s">
        <v>262</v>
      </c>
      <c r="B102" s="2" t="str">
        <f>[1]Sheet1!M102</f>
        <v>男</v>
      </c>
      <c r="C102" s="3" t="str" cm="1">
        <f t="array" ref="C1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02" s="2" t="str">
        <f>MID([1]Sheet1!F102,FIND("(",[1]Sheet1!F102)+1,FIND("-",[1]Sheet1!F102)-FIND("(",[1]Sheet1!F102)-1)</f>
        <v>重庆</v>
      </c>
      <c r="E102" s="2" t="str">
        <f>MID([1]Sheet1!F102,FIND("-",[1]Sheet1!F102)+1,FIND(")",[1]Sheet1!F102)-FIND("-",[1]Sheet1!F102)-1)</f>
        <v>重庆</v>
      </c>
      <c r="F102" s="2" t="s">
        <v>88</v>
      </c>
      <c r="G102" s="2" t="s">
        <v>19</v>
      </c>
      <c r="H102" s="2" t="s">
        <v>66</v>
      </c>
      <c r="I102" s="2" t="s">
        <v>120</v>
      </c>
      <c r="J102" s="2" t="s">
        <v>56</v>
      </c>
      <c r="K102" s="2" t="s">
        <v>130</v>
      </c>
      <c r="L102" s="2" t="s">
        <v>24</v>
      </c>
      <c r="M102" s="2" t="s">
        <v>36</v>
      </c>
      <c r="N102" s="2" t="s">
        <v>37</v>
      </c>
      <c r="O102" s="2" t="s">
        <v>47</v>
      </c>
      <c r="P102" s="2" t="s">
        <v>39</v>
      </c>
      <c r="Q102" s="2" t="s">
        <v>183</v>
      </c>
    </row>
    <row r="103" spans="1:17">
      <c r="A103" s="2" t="s">
        <v>263</v>
      </c>
      <c r="B103" s="2" t="str">
        <f>[1]Sheet1!M103</f>
        <v>女</v>
      </c>
      <c r="C103" s="3" t="str" cm="1">
        <f t="array" ref="C1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3" s="2" t="str">
        <f>MID([1]Sheet1!F103,FIND("(",[1]Sheet1!F103)+1,FIND("-",[1]Sheet1!F103)-FIND("(",[1]Sheet1!F103)-1)</f>
        <v>湖南</v>
      </c>
      <c r="E103" s="2" t="str">
        <f>MID([1]Sheet1!F103,FIND("-",[1]Sheet1!F103)+1,FIND(")",[1]Sheet1!F103)-FIND("-",[1]Sheet1!F103)-1)</f>
        <v>郴州</v>
      </c>
      <c r="F103" s="2" t="s">
        <v>31</v>
      </c>
      <c r="G103" s="2" t="s">
        <v>19</v>
      </c>
      <c r="H103" s="2" t="s">
        <v>66</v>
      </c>
      <c r="I103" s="2" t="s">
        <v>43</v>
      </c>
      <c r="J103" s="2" t="s">
        <v>56</v>
      </c>
      <c r="K103" s="2" t="s">
        <v>130</v>
      </c>
      <c r="L103" s="2" t="s">
        <v>24</v>
      </c>
      <c r="M103" s="2" t="s">
        <v>67</v>
      </c>
      <c r="N103" s="2" t="s">
        <v>85</v>
      </c>
      <c r="O103" s="2" t="s">
        <v>58</v>
      </c>
      <c r="P103" s="2" t="s">
        <v>179</v>
      </c>
      <c r="Q103" s="2" t="s">
        <v>48</v>
      </c>
    </row>
    <row r="104" spans="1:17">
      <c r="A104" s="2" t="s">
        <v>264</v>
      </c>
      <c r="B104" s="2" t="str">
        <f>[1]Sheet1!M104</f>
        <v>男</v>
      </c>
      <c r="C104" s="3" t="str" cm="1">
        <f t="array" ref="C1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4" s="2" t="str">
        <f>MID([1]Sheet1!F104,FIND("(",[1]Sheet1!F104)+1,FIND("-",[1]Sheet1!F104)-FIND("(",[1]Sheet1!F104)-1)</f>
        <v>河北</v>
      </c>
      <c r="E104" s="2" t="str">
        <f>MID([1]Sheet1!F104,FIND("-",[1]Sheet1!F104)+1,FIND(")",[1]Sheet1!F104)-FIND("-",[1]Sheet1!F104)-1)</f>
        <v>廊坊</v>
      </c>
      <c r="F104" s="2" t="s">
        <v>18</v>
      </c>
      <c r="G104" s="2" t="s">
        <v>19</v>
      </c>
      <c r="H104" s="2" t="s">
        <v>55</v>
      </c>
      <c r="I104" s="2" t="s">
        <v>43</v>
      </c>
      <c r="J104" s="2" t="s">
        <v>82</v>
      </c>
      <c r="K104" s="2" t="s">
        <v>117</v>
      </c>
      <c r="L104" s="2" t="s">
        <v>83</v>
      </c>
      <c r="M104" s="2" t="s">
        <v>36</v>
      </c>
      <c r="N104" s="2" t="s">
        <v>37</v>
      </c>
      <c r="O104" s="2" t="s">
        <v>47</v>
      </c>
      <c r="P104" s="2" t="s">
        <v>28</v>
      </c>
      <c r="Q104" s="2" t="s">
        <v>265</v>
      </c>
    </row>
    <row r="105" spans="1:17">
      <c r="A105" s="2" t="s">
        <v>266</v>
      </c>
      <c r="B105" s="2" t="str">
        <f>[1]Sheet1!M105</f>
        <v>男</v>
      </c>
      <c r="C105" s="3" t="str" cm="1">
        <f t="array" ref="C1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5" s="2" t="str">
        <f>MID([1]Sheet1!F105,FIND("(",[1]Sheet1!F105)+1,FIND("-",[1]Sheet1!F105)-FIND("(",[1]Sheet1!F105)-1)</f>
        <v>北京</v>
      </c>
      <c r="E105" s="2" t="str">
        <f>MID([1]Sheet1!F105,FIND("-",[1]Sheet1!F105)+1,FIND(")",[1]Sheet1!F105)-FIND("-",[1]Sheet1!F105)-1)</f>
        <v>北京</v>
      </c>
      <c r="F105" s="2" t="s">
        <v>42</v>
      </c>
      <c r="G105" s="2" t="s">
        <v>50</v>
      </c>
      <c r="H105" s="2" t="s">
        <v>66</v>
      </c>
      <c r="I105" s="2" t="s">
        <v>51</v>
      </c>
      <c r="J105" s="2" t="s">
        <v>96</v>
      </c>
      <c r="K105" s="2" t="s">
        <v>110</v>
      </c>
      <c r="L105" s="2" t="s">
        <v>24</v>
      </c>
      <c r="M105" s="2" t="s">
        <v>36</v>
      </c>
      <c r="N105" s="2" t="s">
        <v>37</v>
      </c>
      <c r="O105" s="2" t="s">
        <v>27</v>
      </c>
      <c r="P105" s="2" t="s">
        <v>86</v>
      </c>
      <c r="Q105" s="2" t="s">
        <v>267</v>
      </c>
    </row>
    <row r="106" spans="1:17">
      <c r="A106" s="2" t="s">
        <v>268</v>
      </c>
      <c r="B106" s="2" t="str">
        <f>[1]Sheet1!M106</f>
        <v>男</v>
      </c>
      <c r="C106" s="3" t="str" cm="1">
        <f t="array" ref="C1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6" s="2" t="str">
        <f>MID([1]Sheet1!F106,FIND("(",[1]Sheet1!F106)+1,FIND("-",[1]Sheet1!F106)-FIND("(",[1]Sheet1!F106)-1)</f>
        <v>河北</v>
      </c>
      <c r="E106" s="2" t="str">
        <f>MID([1]Sheet1!F106,FIND("-",[1]Sheet1!F106)+1,FIND(")",[1]Sheet1!F106)-FIND("-",[1]Sheet1!F106)-1)</f>
        <v>沧州</v>
      </c>
      <c r="F106" s="2" t="s">
        <v>159</v>
      </c>
      <c r="G106" s="2" t="s">
        <v>50</v>
      </c>
      <c r="H106" s="2" t="s">
        <v>20</v>
      </c>
      <c r="I106" s="2" t="s">
        <v>51</v>
      </c>
      <c r="J106" s="2" t="s">
        <v>82</v>
      </c>
      <c r="K106" s="2" t="s">
        <v>117</v>
      </c>
      <c r="L106" s="2" t="s">
        <v>24</v>
      </c>
      <c r="M106" s="2" t="s">
        <v>126</v>
      </c>
      <c r="N106" s="2" t="s">
        <v>85</v>
      </c>
      <c r="O106" s="2" t="s">
        <v>58</v>
      </c>
      <c r="P106" s="2" t="s">
        <v>63</v>
      </c>
      <c r="Q106" s="2" t="s">
        <v>269</v>
      </c>
    </row>
    <row r="107" spans="1:17">
      <c r="A107" s="2" t="s">
        <v>270</v>
      </c>
      <c r="B107" s="2" t="str">
        <f>[1]Sheet1!M107</f>
        <v>女</v>
      </c>
      <c r="C107" s="3" t="str" cm="1">
        <f t="array" ref="C1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7" s="2" t="str">
        <f>MID([1]Sheet1!F107,FIND("(",[1]Sheet1!F107)+1,FIND("-",[1]Sheet1!F107)-FIND("(",[1]Sheet1!F107)-1)</f>
        <v>北京</v>
      </c>
      <c r="E107" s="2" t="str">
        <f>MID([1]Sheet1!F107,FIND("-",[1]Sheet1!F107)+1,FIND(")",[1]Sheet1!F107)-FIND("-",[1]Sheet1!F107)-1)</f>
        <v>北京</v>
      </c>
      <c r="F107" s="2" t="s">
        <v>159</v>
      </c>
      <c r="G107" s="2" t="s">
        <v>32</v>
      </c>
      <c r="H107" s="2" t="s">
        <v>66</v>
      </c>
      <c r="I107" s="2" t="s">
        <v>73</v>
      </c>
      <c r="J107" s="2" t="s">
        <v>35</v>
      </c>
      <c r="K107" s="2" t="s">
        <v>169</v>
      </c>
      <c r="L107" s="2" t="s">
        <v>24</v>
      </c>
      <c r="M107" s="2" t="s">
        <v>36</v>
      </c>
      <c r="N107" s="2" t="s">
        <v>46</v>
      </c>
      <c r="O107" s="2" t="s">
        <v>89</v>
      </c>
      <c r="P107" s="2" t="s">
        <v>175</v>
      </c>
      <c r="Q107" s="2" t="s">
        <v>48</v>
      </c>
    </row>
    <row r="108" spans="1:17">
      <c r="A108" s="2" t="s">
        <v>271</v>
      </c>
      <c r="B108" s="2" t="str">
        <f>[1]Sheet1!M108</f>
        <v>男</v>
      </c>
      <c r="C108" s="3" t="str" cm="1">
        <f t="array" ref="C1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8" s="2" t="str">
        <f>MID([1]Sheet1!F108,FIND("(",[1]Sheet1!F108)+1,FIND("-",[1]Sheet1!F108)-FIND("(",[1]Sheet1!F108)-1)</f>
        <v>河北</v>
      </c>
      <c r="E108" s="2" t="str">
        <f>MID([1]Sheet1!F108,FIND("-",[1]Sheet1!F108)+1,FIND(")",[1]Sheet1!F108)-FIND("-",[1]Sheet1!F108)-1)</f>
        <v>保定</v>
      </c>
      <c r="F108" s="2" t="s">
        <v>88</v>
      </c>
      <c r="G108" s="2" t="s">
        <v>19</v>
      </c>
      <c r="H108" s="2" t="s">
        <v>66</v>
      </c>
      <c r="I108" s="2" t="s">
        <v>43</v>
      </c>
      <c r="J108" s="2" t="s">
        <v>22</v>
      </c>
      <c r="K108" s="2" t="s">
        <v>117</v>
      </c>
      <c r="L108" s="2" t="s">
        <v>24</v>
      </c>
      <c r="M108" s="2" t="s">
        <v>36</v>
      </c>
      <c r="N108" s="2" t="s">
        <v>46</v>
      </c>
      <c r="O108" s="2" t="s">
        <v>47</v>
      </c>
      <c r="P108" s="2" t="s">
        <v>86</v>
      </c>
      <c r="Q108" s="2" t="s">
        <v>272</v>
      </c>
    </row>
    <row r="109" spans="1:17">
      <c r="A109" s="2" t="s">
        <v>273</v>
      </c>
      <c r="B109" s="2" t="str">
        <f>[1]Sheet1!M109</f>
        <v>男</v>
      </c>
      <c r="C109" s="3" t="str" cm="1">
        <f t="array" ref="C1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9" s="2" t="str">
        <f>MID([1]Sheet1!F109,FIND("(",[1]Sheet1!F109)+1,FIND("-",[1]Sheet1!F109)-FIND("(",[1]Sheet1!F109)-1)</f>
        <v>河北</v>
      </c>
      <c r="E109" s="2" t="str">
        <f>MID([1]Sheet1!F109,FIND("-",[1]Sheet1!F109)+1,FIND(")",[1]Sheet1!F109)-FIND("-",[1]Sheet1!F109)-1)</f>
        <v>石家庄</v>
      </c>
      <c r="F109" s="2" t="s">
        <v>42</v>
      </c>
      <c r="G109" s="2" t="s">
        <v>50</v>
      </c>
      <c r="H109" s="2" t="s">
        <v>20</v>
      </c>
      <c r="I109" s="2" t="s">
        <v>21</v>
      </c>
      <c r="J109" s="2" t="s">
        <v>82</v>
      </c>
      <c r="K109" s="2" t="s">
        <v>117</v>
      </c>
      <c r="L109" s="2" t="s">
        <v>24</v>
      </c>
      <c r="M109" s="2" t="s">
        <v>67</v>
      </c>
      <c r="N109" s="2" t="s">
        <v>37</v>
      </c>
      <c r="O109" s="2" t="s">
        <v>47</v>
      </c>
      <c r="P109" s="2" t="s">
        <v>179</v>
      </c>
      <c r="Q109" s="2" t="s">
        <v>29</v>
      </c>
    </row>
    <row r="110" spans="1:17">
      <c r="A110" s="2" t="s">
        <v>274</v>
      </c>
      <c r="B110" s="2" t="str">
        <f>[1]Sheet1!M110</f>
        <v>男</v>
      </c>
      <c r="C110" s="3" t="str" cm="1">
        <f t="array" ref="C1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0" s="2" t="str">
        <f>MID([1]Sheet1!F110,FIND("(",[1]Sheet1!F110)+1,FIND("-",[1]Sheet1!F110)-FIND("(",[1]Sheet1!F110)-1)</f>
        <v>江苏</v>
      </c>
      <c r="E110" s="2" t="str">
        <f>MID([1]Sheet1!F110,FIND("-",[1]Sheet1!F110)+1,FIND(")",[1]Sheet1!F110)-FIND("-",[1]Sheet1!F110)-1)</f>
        <v>扬州</v>
      </c>
      <c r="F110" s="2" t="s">
        <v>42</v>
      </c>
      <c r="G110" s="2" t="s">
        <v>32</v>
      </c>
      <c r="H110" s="2" t="s">
        <v>20</v>
      </c>
      <c r="I110" s="2" t="s">
        <v>21</v>
      </c>
      <c r="J110" s="2" t="s">
        <v>96</v>
      </c>
      <c r="K110" s="2" t="s">
        <v>121</v>
      </c>
      <c r="L110" s="2" t="s">
        <v>24</v>
      </c>
      <c r="M110" s="2" t="s">
        <v>111</v>
      </c>
      <c r="N110" s="2" t="s">
        <v>46</v>
      </c>
      <c r="O110" s="2" t="s">
        <v>58</v>
      </c>
      <c r="P110" s="2" t="s">
        <v>39</v>
      </c>
      <c r="Q110" s="2" t="s">
        <v>275</v>
      </c>
    </row>
    <row r="111" spans="1:17">
      <c r="A111" s="2" t="s">
        <v>276</v>
      </c>
      <c r="B111" s="2" t="str">
        <f>[1]Sheet1!M111</f>
        <v>男</v>
      </c>
      <c r="C111" s="3" t="str" cm="1">
        <f t="array" ref="C1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11" s="2" t="str">
        <f>MID([1]Sheet1!F111,FIND("(",[1]Sheet1!F111)+1,FIND("-",[1]Sheet1!F111)-FIND("(",[1]Sheet1!F111)-1)</f>
        <v>广西</v>
      </c>
      <c r="E111" s="2" t="str">
        <f>MID([1]Sheet1!F111,FIND("-",[1]Sheet1!F111)+1,FIND(")",[1]Sheet1!F111)-FIND("-",[1]Sheet1!F111)-1)</f>
        <v>柳州</v>
      </c>
      <c r="F111" s="2" t="s">
        <v>42</v>
      </c>
      <c r="G111" s="2" t="s">
        <v>32</v>
      </c>
      <c r="H111" s="2" t="s">
        <v>66</v>
      </c>
      <c r="I111" s="2" t="s">
        <v>211</v>
      </c>
      <c r="J111" s="2" t="s">
        <v>82</v>
      </c>
      <c r="K111" s="2" t="s">
        <v>223</v>
      </c>
      <c r="L111" s="2" t="s">
        <v>24</v>
      </c>
      <c r="M111" s="2" t="s">
        <v>36</v>
      </c>
      <c r="N111" s="2" t="s">
        <v>46</v>
      </c>
      <c r="O111" s="2" t="s">
        <v>47</v>
      </c>
      <c r="P111" s="2" t="s">
        <v>28</v>
      </c>
      <c r="Q111" s="2" t="s">
        <v>133</v>
      </c>
    </row>
    <row r="112" spans="1:17">
      <c r="A112" s="2" t="s">
        <v>277</v>
      </c>
      <c r="B112" s="2" t="str">
        <f>[1]Sheet1!M112</f>
        <v>男</v>
      </c>
      <c r="C112" s="3" t="str" cm="1">
        <f t="array" ref="C1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12" s="2" t="str">
        <f>MID([1]Sheet1!F112,FIND("(",[1]Sheet1!F112)+1,FIND("-",[1]Sheet1!F112)-FIND("(",[1]Sheet1!F112)-1)</f>
        <v>山东</v>
      </c>
      <c r="E112" s="2" t="str">
        <f>MID([1]Sheet1!F112,FIND("-",[1]Sheet1!F112)+1,FIND(")",[1]Sheet1!F112)-FIND("-",[1]Sheet1!F112)-1)</f>
        <v>济南</v>
      </c>
      <c r="F112" s="2" t="s">
        <v>18</v>
      </c>
      <c r="G112" s="2" t="s">
        <v>19</v>
      </c>
      <c r="H112" s="2" t="s">
        <v>55</v>
      </c>
      <c r="I112" s="2" t="s">
        <v>34</v>
      </c>
      <c r="J112" s="2" t="s">
        <v>96</v>
      </c>
      <c r="K112" s="2" t="s">
        <v>115</v>
      </c>
      <c r="L112" s="2" t="s">
        <v>83</v>
      </c>
      <c r="M112" s="2" t="s">
        <v>57</v>
      </c>
      <c r="N112" s="2" t="s">
        <v>37</v>
      </c>
      <c r="O112" s="2" t="s">
        <v>47</v>
      </c>
      <c r="P112" s="2" t="s">
        <v>63</v>
      </c>
      <c r="Q112" s="2" t="s">
        <v>40</v>
      </c>
    </row>
    <row r="113" spans="1:17">
      <c r="A113" s="2" t="s">
        <v>278</v>
      </c>
      <c r="B113" s="2" t="str">
        <f>[1]Sheet1!M113</f>
        <v>男</v>
      </c>
      <c r="C113" s="3" t="str" cm="1">
        <f t="array" ref="C1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13" s="2" t="str">
        <f>MID([1]Sheet1!F113,FIND("(",[1]Sheet1!F113)+1,FIND("-",[1]Sheet1!F113)-FIND("(",[1]Sheet1!F113)-1)</f>
        <v>河南</v>
      </c>
      <c r="E113" s="2" t="str">
        <f>MID([1]Sheet1!F113,FIND("-",[1]Sheet1!F113)+1,FIND(")",[1]Sheet1!F113)-FIND("-",[1]Sheet1!F113)-1)</f>
        <v>洛阳</v>
      </c>
      <c r="F113" s="2" t="s">
        <v>42</v>
      </c>
      <c r="G113" s="2" t="s">
        <v>50</v>
      </c>
      <c r="H113" s="2" t="s">
        <v>20</v>
      </c>
      <c r="I113" s="2" t="s">
        <v>21</v>
      </c>
      <c r="J113" s="2" t="s">
        <v>82</v>
      </c>
      <c r="K113" s="2" t="s">
        <v>121</v>
      </c>
      <c r="L113" s="2" t="s">
        <v>24</v>
      </c>
      <c r="M113" s="2" t="s">
        <v>36</v>
      </c>
      <c r="N113" s="2" t="s">
        <v>85</v>
      </c>
      <c r="O113" s="2" t="s">
        <v>47</v>
      </c>
      <c r="P113" s="2" t="s">
        <v>28</v>
      </c>
      <c r="Q113" s="2" t="s">
        <v>279</v>
      </c>
    </row>
    <row r="114" spans="1:17">
      <c r="A114" s="2" t="s">
        <v>280</v>
      </c>
      <c r="B114" s="2" t="str">
        <f>[1]Sheet1!M114</f>
        <v>男</v>
      </c>
      <c r="C114" s="3" t="str" cm="1">
        <f t="array" ref="C1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14" s="2" t="str">
        <f>MID([1]Sheet1!F114,FIND("(",[1]Sheet1!F114)+1,FIND("-",[1]Sheet1!F114)-FIND("(",[1]Sheet1!F114)-1)</f>
        <v>天津</v>
      </c>
      <c r="E114" s="2" t="str">
        <f>MID([1]Sheet1!F114,FIND("-",[1]Sheet1!F114)+1,FIND(")",[1]Sheet1!F114)-FIND("-",[1]Sheet1!F114)-1)</f>
        <v>天津</v>
      </c>
      <c r="F114" s="2" t="s">
        <v>18</v>
      </c>
      <c r="G114" s="2" t="s">
        <v>50</v>
      </c>
      <c r="H114" s="2" t="s">
        <v>66</v>
      </c>
      <c r="I114" s="2" t="s">
        <v>51</v>
      </c>
      <c r="J114" s="2" t="s">
        <v>96</v>
      </c>
      <c r="K114" s="2" t="s">
        <v>115</v>
      </c>
      <c r="L114" s="2" t="s">
        <v>24</v>
      </c>
      <c r="M114" s="2" t="s">
        <v>126</v>
      </c>
      <c r="N114" s="2" t="s">
        <v>37</v>
      </c>
      <c r="O114" s="2" t="s">
        <v>47</v>
      </c>
      <c r="P114" s="2" t="s">
        <v>59</v>
      </c>
      <c r="Q114" s="2" t="s">
        <v>172</v>
      </c>
    </row>
    <row r="115" spans="1:17">
      <c r="A115" s="2" t="s">
        <v>163</v>
      </c>
      <c r="B115" s="2" t="str">
        <f>[1]Sheet1!M115</f>
        <v>男</v>
      </c>
      <c r="C115" s="3" t="str" cm="1">
        <f t="array" ref="C1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5" s="2" t="str">
        <f>MID([1]Sheet1!F115,FIND("(",[1]Sheet1!F115)+1,FIND("-",[1]Sheet1!F115)-FIND("(",[1]Sheet1!F115)-1)</f>
        <v>江苏</v>
      </c>
      <c r="E115" s="2" t="str">
        <f>MID([1]Sheet1!F115,FIND("-",[1]Sheet1!F115)+1,FIND(")",[1]Sheet1!F115)-FIND("-",[1]Sheet1!F115)-1)</f>
        <v>徐州</v>
      </c>
      <c r="F115" s="2" t="s">
        <v>18</v>
      </c>
      <c r="G115" s="2" t="s">
        <v>50</v>
      </c>
      <c r="H115" s="2" t="s">
        <v>20</v>
      </c>
      <c r="I115" s="2" t="s">
        <v>43</v>
      </c>
      <c r="J115" s="2" t="s">
        <v>22</v>
      </c>
      <c r="K115" s="2" t="s">
        <v>217</v>
      </c>
      <c r="L115" s="2" t="s">
        <v>24</v>
      </c>
      <c r="M115" s="2" t="s">
        <v>36</v>
      </c>
      <c r="N115" s="2" t="s">
        <v>37</v>
      </c>
      <c r="O115" s="2" t="s">
        <v>235</v>
      </c>
      <c r="P115" s="2" t="s">
        <v>39</v>
      </c>
      <c r="Q115" s="2" t="s">
        <v>123</v>
      </c>
    </row>
    <row r="116" spans="1:17">
      <c r="A116" s="2" t="s">
        <v>281</v>
      </c>
      <c r="B116" s="2" t="str">
        <f>[1]Sheet1!M116</f>
        <v>女</v>
      </c>
      <c r="C116" s="3" t="str" cm="1">
        <f t="array" ref="C1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6" s="2" t="str">
        <f>MID([1]Sheet1!F116,FIND("(",[1]Sheet1!F116)+1,FIND("-",[1]Sheet1!F116)-FIND("(",[1]Sheet1!F116)-1)</f>
        <v>江苏</v>
      </c>
      <c r="E116" s="2" t="str">
        <f>MID([1]Sheet1!F116,FIND("-",[1]Sheet1!F116)+1,FIND(")",[1]Sheet1!F116)-FIND("-",[1]Sheet1!F116)-1)</f>
        <v>南京</v>
      </c>
      <c r="F116" s="2" t="s">
        <v>18</v>
      </c>
      <c r="G116" s="2" t="s">
        <v>50</v>
      </c>
      <c r="H116" s="2" t="s">
        <v>66</v>
      </c>
      <c r="I116" s="2" t="s">
        <v>34</v>
      </c>
      <c r="J116" s="2" t="s">
        <v>56</v>
      </c>
      <c r="K116" s="2" t="s">
        <v>121</v>
      </c>
      <c r="L116" s="2" t="s">
        <v>24</v>
      </c>
      <c r="M116" s="2" t="s">
        <v>36</v>
      </c>
      <c r="N116" s="2" t="s">
        <v>37</v>
      </c>
      <c r="O116" s="2" t="s">
        <v>58</v>
      </c>
      <c r="P116" s="2" t="s">
        <v>39</v>
      </c>
      <c r="Q116" s="2" t="s">
        <v>123</v>
      </c>
    </row>
    <row r="117" spans="1:17">
      <c r="A117" s="2" t="s">
        <v>282</v>
      </c>
      <c r="B117" s="2" t="str">
        <f>[1]Sheet1!M117</f>
        <v>男</v>
      </c>
      <c r="C117" s="3" t="str" cm="1">
        <f t="array" ref="C1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7" s="2" t="str">
        <f>MID([1]Sheet1!F117,FIND("(",[1]Sheet1!F117)+1,FIND("-",[1]Sheet1!F117)-FIND("(",[1]Sheet1!F117)-1)</f>
        <v>江苏</v>
      </c>
      <c r="E117" s="2" t="str">
        <f>MID([1]Sheet1!F117,FIND("-",[1]Sheet1!F117)+1,FIND(")",[1]Sheet1!F117)-FIND("-",[1]Sheet1!F117)-1)</f>
        <v>南京</v>
      </c>
      <c r="F117" s="2" t="s">
        <v>70</v>
      </c>
      <c r="G117" s="2" t="s">
        <v>114</v>
      </c>
      <c r="H117" s="2" t="s">
        <v>66</v>
      </c>
      <c r="I117" s="2" t="s">
        <v>21</v>
      </c>
      <c r="J117" s="2" t="s">
        <v>22</v>
      </c>
      <c r="K117" s="2" t="s">
        <v>117</v>
      </c>
      <c r="L117" s="2" t="s">
        <v>24</v>
      </c>
      <c r="M117" s="2" t="s">
        <v>143</v>
      </c>
      <c r="N117" s="2" t="s">
        <v>105</v>
      </c>
      <c r="O117" s="2" t="s">
        <v>152</v>
      </c>
      <c r="P117" s="2" t="s">
        <v>39</v>
      </c>
      <c r="Q117" s="2" t="s">
        <v>283</v>
      </c>
    </row>
    <row r="118" spans="1:17">
      <c r="A118" s="2" t="s">
        <v>284</v>
      </c>
      <c r="B118" s="2" t="str">
        <f>[1]Sheet1!M118</f>
        <v>女</v>
      </c>
      <c r="C118" s="3" t="str" cm="1">
        <f t="array" ref="C1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8" s="2" t="str">
        <f>MID([1]Sheet1!F118,FIND("(",[1]Sheet1!F118)+1,FIND("-",[1]Sheet1!F118)-FIND("(",[1]Sheet1!F118)-1)</f>
        <v>江苏</v>
      </c>
      <c r="E118" s="2" t="str">
        <f>MID([1]Sheet1!F118,FIND("-",[1]Sheet1!F118)+1,FIND(")",[1]Sheet1!F118)-FIND("-",[1]Sheet1!F118)-1)</f>
        <v>徐州</v>
      </c>
      <c r="F118" s="2" t="s">
        <v>42</v>
      </c>
      <c r="G118" s="2" t="s">
        <v>50</v>
      </c>
      <c r="H118" s="2" t="s">
        <v>33</v>
      </c>
      <c r="I118" s="2" t="s">
        <v>51</v>
      </c>
      <c r="J118" s="2" t="s">
        <v>77</v>
      </c>
      <c r="K118" s="2" t="s">
        <v>217</v>
      </c>
      <c r="L118" s="2" t="s">
        <v>24</v>
      </c>
      <c r="M118" s="2" t="s">
        <v>143</v>
      </c>
      <c r="N118" s="2" t="s">
        <v>37</v>
      </c>
      <c r="O118" s="2" t="s">
        <v>89</v>
      </c>
      <c r="P118" s="2" t="s">
        <v>175</v>
      </c>
      <c r="Q118" s="2" t="s">
        <v>60</v>
      </c>
    </row>
    <row r="119" spans="1:17">
      <c r="A119" s="2" t="s">
        <v>285</v>
      </c>
      <c r="B119" s="2" t="str">
        <f>[1]Sheet1!M119</f>
        <v>男</v>
      </c>
      <c r="C119" s="3" t="str" cm="1">
        <f t="array" ref="C1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19" s="2" t="str">
        <f>MID([1]Sheet1!F119,FIND("(",[1]Sheet1!F119)+1,FIND("-",[1]Sheet1!F119)-FIND("(",[1]Sheet1!F119)-1)</f>
        <v>江苏</v>
      </c>
      <c r="E119" s="2" t="str">
        <f>MID([1]Sheet1!F119,FIND("-",[1]Sheet1!F119)+1,FIND(")",[1]Sheet1!F119)-FIND("-",[1]Sheet1!F119)-1)</f>
        <v>南京</v>
      </c>
      <c r="F119" s="2" t="s">
        <v>42</v>
      </c>
      <c r="G119" s="2" t="s">
        <v>19</v>
      </c>
      <c r="H119" s="2" t="s">
        <v>66</v>
      </c>
      <c r="I119" s="2" t="s">
        <v>34</v>
      </c>
      <c r="J119" s="2" t="s">
        <v>44</v>
      </c>
      <c r="K119" s="2" t="s">
        <v>121</v>
      </c>
      <c r="L119" s="2" t="s">
        <v>24</v>
      </c>
      <c r="M119" s="2" t="s">
        <v>36</v>
      </c>
      <c r="N119" s="2" t="s">
        <v>26</v>
      </c>
      <c r="O119" s="2" t="s">
        <v>89</v>
      </c>
      <c r="P119" s="2" t="s">
        <v>39</v>
      </c>
      <c r="Q119" s="2" t="s">
        <v>133</v>
      </c>
    </row>
    <row r="120" spans="1:17">
      <c r="A120" s="2" t="s">
        <v>286</v>
      </c>
      <c r="B120" s="2" t="str">
        <f>[1]Sheet1!M120</f>
        <v>男</v>
      </c>
      <c r="C120" s="3" t="str" cm="1">
        <f t="array" ref="C1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20" s="2" t="str">
        <f>MID([1]Sheet1!F120,FIND("(",[1]Sheet1!F120)+1,FIND("-",[1]Sheet1!F120)-FIND("(",[1]Sheet1!F120)-1)</f>
        <v>江苏</v>
      </c>
      <c r="E120" s="2" t="str">
        <f>MID([1]Sheet1!F120,FIND("-",[1]Sheet1!F120)+1,FIND(")",[1]Sheet1!F120)-FIND("-",[1]Sheet1!F120)-1)</f>
        <v>徐州</v>
      </c>
      <c r="F120" s="2" t="s">
        <v>31</v>
      </c>
      <c r="G120" s="2" t="s">
        <v>19</v>
      </c>
      <c r="H120" s="2" t="s">
        <v>66</v>
      </c>
      <c r="I120" s="2" t="s">
        <v>21</v>
      </c>
      <c r="J120" s="2" t="s">
        <v>77</v>
      </c>
      <c r="K120" s="2" t="s">
        <v>117</v>
      </c>
      <c r="L120" s="2" t="s">
        <v>24</v>
      </c>
      <c r="M120" s="2" t="s">
        <v>143</v>
      </c>
      <c r="N120" s="2" t="s">
        <v>46</v>
      </c>
      <c r="O120" s="2" t="s">
        <v>106</v>
      </c>
      <c r="P120" s="2" t="s">
        <v>86</v>
      </c>
      <c r="Q120" s="2" t="s">
        <v>172</v>
      </c>
    </row>
    <row r="121" spans="1:17">
      <c r="A121" s="2" t="s">
        <v>287</v>
      </c>
      <c r="B121" s="2" t="str">
        <f>[1]Sheet1!M121</f>
        <v>男</v>
      </c>
      <c r="C121" s="3" t="str" cm="1">
        <f t="array" ref="C1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21" s="2" t="str">
        <f>MID([1]Sheet1!F121,FIND("(",[1]Sheet1!F121)+1,FIND("-",[1]Sheet1!F121)-FIND("(",[1]Sheet1!F121)-1)</f>
        <v>广东</v>
      </c>
      <c r="E121" s="2" t="str">
        <f>MID([1]Sheet1!F121,FIND("-",[1]Sheet1!F121)+1,FIND(")",[1]Sheet1!F121)-FIND("-",[1]Sheet1!F121)-1)</f>
        <v>梅州</v>
      </c>
      <c r="F121" s="2" t="s">
        <v>31</v>
      </c>
      <c r="G121" s="2" t="s">
        <v>81</v>
      </c>
      <c r="H121" s="2" t="s">
        <v>33</v>
      </c>
      <c r="I121" s="2" t="s">
        <v>120</v>
      </c>
      <c r="J121" s="2" t="s">
        <v>82</v>
      </c>
      <c r="K121" s="2" t="s">
        <v>117</v>
      </c>
      <c r="L121" s="2" t="s">
        <v>24</v>
      </c>
      <c r="M121" s="2" t="s">
        <v>111</v>
      </c>
      <c r="N121" s="2" t="s">
        <v>37</v>
      </c>
      <c r="O121" s="2" t="s">
        <v>58</v>
      </c>
      <c r="P121" s="2" t="s">
        <v>63</v>
      </c>
      <c r="Q121" s="2" t="s">
        <v>200</v>
      </c>
    </row>
    <row r="122" spans="1:17">
      <c r="A122" s="2" t="s">
        <v>288</v>
      </c>
      <c r="B122" s="2" t="str">
        <f>[1]Sheet1!M122</f>
        <v>男</v>
      </c>
      <c r="C122" s="3" t="str" cm="1">
        <f t="array" ref="C1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22" s="2" t="str">
        <f>MID([1]Sheet1!F122,FIND("(",[1]Sheet1!F122)+1,FIND("-",[1]Sheet1!F122)-FIND("(",[1]Sheet1!F122)-1)</f>
        <v>四川</v>
      </c>
      <c r="E122" s="2" t="str">
        <f>MID([1]Sheet1!F122,FIND("-",[1]Sheet1!F122)+1,FIND(")",[1]Sheet1!F122)-FIND("-",[1]Sheet1!F122)-1)</f>
        <v>成都</v>
      </c>
      <c r="F122" s="2" t="s">
        <v>18</v>
      </c>
      <c r="G122" s="2" t="s">
        <v>50</v>
      </c>
      <c r="H122" s="2" t="s">
        <v>66</v>
      </c>
      <c r="I122" s="2" t="s">
        <v>21</v>
      </c>
      <c r="J122" s="2" t="s">
        <v>56</v>
      </c>
      <c r="K122" s="2" t="s">
        <v>121</v>
      </c>
      <c r="L122" s="2" t="s">
        <v>83</v>
      </c>
      <c r="M122" s="2" t="s">
        <v>143</v>
      </c>
      <c r="N122" s="2" t="s">
        <v>37</v>
      </c>
      <c r="O122" s="2" t="s">
        <v>47</v>
      </c>
      <c r="P122" s="2" t="s">
        <v>289</v>
      </c>
      <c r="Q122" s="2" t="s">
        <v>195</v>
      </c>
    </row>
    <row r="123" spans="1:17">
      <c r="A123" s="2" t="s">
        <v>290</v>
      </c>
      <c r="B123" s="2" t="str">
        <f>[1]Sheet1!M123</f>
        <v>男</v>
      </c>
      <c r="C123" s="3" t="str" cm="1">
        <f t="array" ref="C1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23" s="2" t="str">
        <f>MID([1]Sheet1!F123,FIND("(",[1]Sheet1!F123)+1,FIND("-",[1]Sheet1!F123)-FIND("(",[1]Sheet1!F123)-1)</f>
        <v>广西</v>
      </c>
      <c r="E123" s="2" t="str">
        <f>MID([1]Sheet1!F123,FIND("-",[1]Sheet1!F123)+1,FIND(")",[1]Sheet1!F123)-FIND("-",[1]Sheet1!F123)-1)</f>
        <v>河池</v>
      </c>
      <c r="F123" s="2" t="s">
        <v>31</v>
      </c>
      <c r="G123" s="2" t="s">
        <v>50</v>
      </c>
      <c r="H123" s="2" t="s">
        <v>55</v>
      </c>
      <c r="I123" s="2" t="s">
        <v>51</v>
      </c>
      <c r="J123" s="2" t="s">
        <v>82</v>
      </c>
      <c r="K123" s="2" t="s">
        <v>117</v>
      </c>
      <c r="L123" s="2" t="s">
        <v>83</v>
      </c>
      <c r="M123" s="2" t="s">
        <v>291</v>
      </c>
      <c r="N123" s="2" t="s">
        <v>26</v>
      </c>
      <c r="O123" s="2" t="s">
        <v>106</v>
      </c>
      <c r="P123" s="2" t="s">
        <v>39</v>
      </c>
      <c r="Q123" s="2" t="s">
        <v>292</v>
      </c>
    </row>
    <row r="124" spans="1:17">
      <c r="A124" s="2" t="s">
        <v>293</v>
      </c>
      <c r="B124" s="2" t="str">
        <f>[1]Sheet1!M124</f>
        <v>男</v>
      </c>
      <c r="C124" s="3" t="str" cm="1">
        <f t="array" ref="C1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24" s="2" t="str">
        <f>MID([1]Sheet1!F124,FIND("(",[1]Sheet1!F124)+1,FIND("-",[1]Sheet1!F124)-FIND("(",[1]Sheet1!F124)-1)</f>
        <v>广东</v>
      </c>
      <c r="E124" s="2" t="str">
        <f>MID([1]Sheet1!F124,FIND("-",[1]Sheet1!F124)+1,FIND(")",[1]Sheet1!F124)-FIND("-",[1]Sheet1!F124)-1)</f>
        <v>汕头</v>
      </c>
      <c r="F124" s="2" t="s">
        <v>42</v>
      </c>
      <c r="G124" s="2" t="s">
        <v>81</v>
      </c>
      <c r="H124" s="2" t="s">
        <v>20</v>
      </c>
      <c r="I124" s="2" t="s">
        <v>51</v>
      </c>
      <c r="J124" s="2" t="s">
        <v>96</v>
      </c>
      <c r="K124" s="2" t="s">
        <v>115</v>
      </c>
      <c r="L124" s="2" t="s">
        <v>24</v>
      </c>
      <c r="M124" s="2" t="s">
        <v>143</v>
      </c>
      <c r="N124" s="2" t="s">
        <v>37</v>
      </c>
      <c r="O124" s="2" t="s">
        <v>58</v>
      </c>
      <c r="P124" s="2" t="s">
        <v>63</v>
      </c>
      <c r="Q124" s="2" t="s">
        <v>29</v>
      </c>
    </row>
    <row r="125" spans="1:17">
      <c r="A125" s="2" t="s">
        <v>294</v>
      </c>
      <c r="B125" s="2" t="str">
        <f>[1]Sheet1!M125</f>
        <v>男</v>
      </c>
      <c r="C125" s="3" t="str" cm="1">
        <f t="array" ref="C1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25" s="2" t="str">
        <f>MID([1]Sheet1!F125,FIND("(",[1]Sheet1!F125)+1,FIND("-",[1]Sheet1!F125)-FIND("(",[1]Sheet1!F125)-1)</f>
        <v>重庆</v>
      </c>
      <c r="E125" s="2" t="str">
        <f>MID([1]Sheet1!F125,FIND("-",[1]Sheet1!F125)+1,FIND(")",[1]Sheet1!F125)-FIND("-",[1]Sheet1!F125)-1)</f>
        <v>重庆</v>
      </c>
      <c r="F125" s="2" t="s">
        <v>31</v>
      </c>
      <c r="G125" s="2" t="s">
        <v>19</v>
      </c>
      <c r="H125" s="2" t="s">
        <v>33</v>
      </c>
      <c r="I125" s="2" t="s">
        <v>21</v>
      </c>
      <c r="J125" s="2" t="s">
        <v>77</v>
      </c>
      <c r="K125" s="2" t="s">
        <v>117</v>
      </c>
      <c r="L125" s="2" t="s">
        <v>24</v>
      </c>
      <c r="M125" s="2" t="s">
        <v>291</v>
      </c>
      <c r="N125" s="2" t="s">
        <v>37</v>
      </c>
      <c r="O125" s="2" t="s">
        <v>295</v>
      </c>
      <c r="P125" s="2" t="s">
        <v>63</v>
      </c>
      <c r="Q125" s="2" t="s">
        <v>279</v>
      </c>
    </row>
    <row r="126" spans="1:17">
      <c r="A126" s="2" t="s">
        <v>296</v>
      </c>
      <c r="B126" s="2" t="str">
        <f>[1]Sheet1!M126</f>
        <v>男</v>
      </c>
      <c r="C126" s="3" t="str" cm="1">
        <f t="array" ref="C1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26" s="2" t="str">
        <f>MID([1]Sheet1!F126,FIND("(",[1]Sheet1!F126)+1,FIND("-",[1]Sheet1!F126)-FIND("(",[1]Sheet1!F126)-1)</f>
        <v>贵州</v>
      </c>
      <c r="E126" s="2" t="str">
        <f>MID([1]Sheet1!F126,FIND("-",[1]Sheet1!F126)+1,FIND(")",[1]Sheet1!F126)-FIND("-",[1]Sheet1!F126)-1)</f>
        <v>贵阳</v>
      </c>
      <c r="F126" s="2" t="s">
        <v>88</v>
      </c>
      <c r="G126" s="2" t="s">
        <v>81</v>
      </c>
      <c r="H126" s="2" t="s">
        <v>20</v>
      </c>
      <c r="I126" s="2" t="s">
        <v>21</v>
      </c>
      <c r="J126" s="2" t="s">
        <v>82</v>
      </c>
      <c r="K126" s="2" t="s">
        <v>117</v>
      </c>
      <c r="L126" s="2" t="s">
        <v>24</v>
      </c>
      <c r="M126" s="2" t="s">
        <v>78</v>
      </c>
      <c r="N126" s="2" t="s">
        <v>37</v>
      </c>
      <c r="O126" s="2" t="s">
        <v>47</v>
      </c>
      <c r="P126" s="2" t="s">
        <v>86</v>
      </c>
      <c r="Q126" s="2" t="s">
        <v>172</v>
      </c>
    </row>
    <row r="127" spans="1:17">
      <c r="A127" s="2" t="s">
        <v>297</v>
      </c>
      <c r="B127" s="2" t="str">
        <f>[1]Sheet1!M127</f>
        <v>男</v>
      </c>
      <c r="C127" s="3" t="str" cm="1">
        <f t="array" ref="C1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27" s="2" t="str">
        <f>MID([1]Sheet1!F127,FIND("(",[1]Sheet1!F127)+1,FIND("-",[1]Sheet1!F127)-FIND("(",[1]Sheet1!F127)-1)</f>
        <v>河南</v>
      </c>
      <c r="E127" s="2" t="str">
        <f>MID([1]Sheet1!F127,FIND("-",[1]Sheet1!F127)+1,FIND(")",[1]Sheet1!F127)-FIND("-",[1]Sheet1!F127)-1)</f>
        <v>平顶山</v>
      </c>
      <c r="F127" s="2" t="s">
        <v>31</v>
      </c>
      <c r="G127" s="2" t="s">
        <v>19</v>
      </c>
      <c r="H127" s="2" t="s">
        <v>66</v>
      </c>
      <c r="I127" s="2" t="s">
        <v>120</v>
      </c>
      <c r="J127" s="2" t="s">
        <v>96</v>
      </c>
      <c r="K127" s="2" t="s">
        <v>115</v>
      </c>
      <c r="L127" s="2" t="s">
        <v>83</v>
      </c>
      <c r="M127" s="2" t="s">
        <v>143</v>
      </c>
      <c r="N127" s="2" t="s">
        <v>37</v>
      </c>
      <c r="O127" s="2" t="s">
        <v>47</v>
      </c>
      <c r="P127" s="2" t="s">
        <v>86</v>
      </c>
      <c r="Q127" s="2" t="s">
        <v>298</v>
      </c>
    </row>
    <row r="128" spans="1:17">
      <c r="A128" s="2" t="s">
        <v>299</v>
      </c>
      <c r="B128" s="2" t="str">
        <f>[1]Sheet1!M128</f>
        <v>男</v>
      </c>
      <c r="C128" s="3" t="str" cm="1">
        <f t="array" ref="C1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28" s="2" t="str">
        <f>MID([1]Sheet1!F128,FIND("(",[1]Sheet1!F128)+1,FIND("-",[1]Sheet1!F128)-FIND("(",[1]Sheet1!F128)-1)</f>
        <v>江苏</v>
      </c>
      <c r="E128" s="2" t="str">
        <f>MID([1]Sheet1!F128,FIND("-",[1]Sheet1!F128)+1,FIND(")",[1]Sheet1!F128)-FIND("-",[1]Sheet1!F128)-1)</f>
        <v>南京</v>
      </c>
      <c r="F128" s="2" t="s">
        <v>18</v>
      </c>
      <c r="G128" s="2" t="s">
        <v>32</v>
      </c>
      <c r="H128" s="2" t="s">
        <v>20</v>
      </c>
      <c r="I128" s="2" t="s">
        <v>34</v>
      </c>
      <c r="J128" s="2" t="s">
        <v>82</v>
      </c>
      <c r="K128" s="2" t="s">
        <v>169</v>
      </c>
      <c r="L128" s="2" t="s">
        <v>24</v>
      </c>
      <c r="M128" s="2" t="s">
        <v>36</v>
      </c>
      <c r="N128" s="2" t="s">
        <v>37</v>
      </c>
      <c r="O128" s="2" t="s">
        <v>187</v>
      </c>
      <c r="P128" s="2" t="s">
        <v>39</v>
      </c>
      <c r="Q128" s="2" t="s">
        <v>48</v>
      </c>
    </row>
    <row r="129" spans="1:17">
      <c r="A129" s="2" t="s">
        <v>300</v>
      </c>
      <c r="B129" s="2" t="str">
        <f>[1]Sheet1!M129</f>
        <v>男</v>
      </c>
      <c r="C129" s="3" t="str" cm="1">
        <f t="array" ref="C1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29" s="2" t="str">
        <f>MID([1]Sheet1!F129,FIND("(",[1]Sheet1!F129)+1,FIND("-",[1]Sheet1!F129)-FIND("(",[1]Sheet1!F129)-1)</f>
        <v>广东</v>
      </c>
      <c r="E129" s="2" t="str">
        <f>MID([1]Sheet1!F129,FIND("-",[1]Sheet1!F129)+1,FIND(")",[1]Sheet1!F129)-FIND("-",[1]Sheet1!F129)-1)</f>
        <v>汕头</v>
      </c>
      <c r="F129" s="2" t="s">
        <v>18</v>
      </c>
      <c r="G129" s="2" t="s">
        <v>81</v>
      </c>
      <c r="H129" s="2" t="s">
        <v>66</v>
      </c>
      <c r="I129" s="2" t="s">
        <v>34</v>
      </c>
      <c r="J129" s="2" t="s">
        <v>96</v>
      </c>
      <c r="K129" s="2" t="s">
        <v>169</v>
      </c>
      <c r="L129" s="2" t="s">
        <v>24</v>
      </c>
      <c r="M129" s="2" t="s">
        <v>36</v>
      </c>
      <c r="N129" s="2" t="s">
        <v>37</v>
      </c>
      <c r="O129" s="2" t="s">
        <v>301</v>
      </c>
      <c r="P129" s="2" t="s">
        <v>59</v>
      </c>
      <c r="Q129" s="2" t="s">
        <v>302</v>
      </c>
    </row>
    <row r="130" spans="1:17">
      <c r="A130" s="2" t="s">
        <v>303</v>
      </c>
      <c r="B130" s="2" t="str">
        <f>[1]Sheet1!M130</f>
        <v>男</v>
      </c>
      <c r="C130" s="3" t="str" cm="1">
        <f t="array" ref="C1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0" s="2" t="str">
        <f>MID([1]Sheet1!F130,FIND("(",[1]Sheet1!F130)+1,FIND("-",[1]Sheet1!F130)-FIND("(",[1]Sheet1!F130)-1)</f>
        <v>广东</v>
      </c>
      <c r="E130" s="2" t="str">
        <f>MID([1]Sheet1!F130,FIND("-",[1]Sheet1!F130)+1,FIND(")",[1]Sheet1!F130)-FIND("-",[1]Sheet1!F130)-1)</f>
        <v>广州</v>
      </c>
      <c r="F130" s="2" t="s">
        <v>18</v>
      </c>
      <c r="G130" s="2" t="s">
        <v>50</v>
      </c>
      <c r="H130" s="2" t="s">
        <v>20</v>
      </c>
      <c r="I130" s="2" t="s">
        <v>21</v>
      </c>
      <c r="J130" s="2" t="s">
        <v>82</v>
      </c>
      <c r="K130" s="2" t="s">
        <v>304</v>
      </c>
      <c r="L130" s="2" t="s">
        <v>24</v>
      </c>
      <c r="M130" s="2" t="s">
        <v>67</v>
      </c>
      <c r="N130" s="2" t="s">
        <v>37</v>
      </c>
      <c r="O130" s="2" t="s">
        <v>305</v>
      </c>
      <c r="P130" s="2" t="s">
        <v>218</v>
      </c>
      <c r="Q130" s="2" t="s">
        <v>48</v>
      </c>
    </row>
    <row r="131" spans="1:17">
      <c r="A131" s="2" t="s">
        <v>306</v>
      </c>
      <c r="B131" s="2" t="str">
        <f>[1]Sheet1!M131</f>
        <v>男</v>
      </c>
      <c r="C131" s="3" t="str" cm="1">
        <f t="array" ref="C1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1" s="2" t="str">
        <f>MID([1]Sheet1!F131,FIND("(",[1]Sheet1!F131)+1,FIND("-",[1]Sheet1!F131)-FIND("(",[1]Sheet1!F131)-1)</f>
        <v>广东</v>
      </c>
      <c r="E131" s="2" t="str">
        <f>MID([1]Sheet1!F131,FIND("-",[1]Sheet1!F131)+1,FIND(")",[1]Sheet1!F131)-FIND("-",[1]Sheet1!F131)-1)</f>
        <v>广州</v>
      </c>
      <c r="F131" s="2" t="s">
        <v>18</v>
      </c>
      <c r="G131" s="2" t="s">
        <v>114</v>
      </c>
      <c r="H131" s="2" t="s">
        <v>20</v>
      </c>
      <c r="I131" s="2" t="s">
        <v>73</v>
      </c>
      <c r="J131" s="2" t="s">
        <v>35</v>
      </c>
      <c r="K131" s="2" t="s">
        <v>307</v>
      </c>
      <c r="L131" s="2" t="s">
        <v>83</v>
      </c>
      <c r="M131" s="2" t="s">
        <v>36</v>
      </c>
      <c r="N131" s="2" t="s">
        <v>85</v>
      </c>
      <c r="O131" s="2" t="s">
        <v>295</v>
      </c>
      <c r="P131" s="2" t="s">
        <v>179</v>
      </c>
      <c r="Q131" s="2" t="s">
        <v>214</v>
      </c>
    </row>
    <row r="132" spans="1:17">
      <c r="A132" s="2" t="s">
        <v>308</v>
      </c>
      <c r="B132" s="2" t="str">
        <f>[1]Sheet1!M132</f>
        <v>女</v>
      </c>
      <c r="C132" s="3" t="str" cm="1">
        <f t="array" ref="C1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2" s="2" t="str">
        <f>MID([1]Sheet1!F132,FIND("(",[1]Sheet1!F132)+1,FIND("-",[1]Sheet1!F132)-FIND("(",[1]Sheet1!F132)-1)</f>
        <v>广西</v>
      </c>
      <c r="E132" s="2" t="str">
        <f>MID([1]Sheet1!F132,FIND("-",[1]Sheet1!F132)+1,FIND(")",[1]Sheet1!F132)-FIND("-",[1]Sheet1!F132)-1)</f>
        <v>百色</v>
      </c>
      <c r="F132" s="2" t="s">
        <v>42</v>
      </c>
      <c r="G132" s="2" t="s">
        <v>32</v>
      </c>
      <c r="H132" s="2" t="s">
        <v>66</v>
      </c>
      <c r="I132" s="2" t="s">
        <v>51</v>
      </c>
      <c r="J132" s="2" t="s">
        <v>77</v>
      </c>
      <c r="K132" s="2" t="s">
        <v>130</v>
      </c>
      <c r="L132" s="2" t="s">
        <v>24</v>
      </c>
      <c r="M132" s="2" t="s">
        <v>143</v>
      </c>
      <c r="N132" s="2" t="s">
        <v>37</v>
      </c>
      <c r="O132" s="2" t="s">
        <v>47</v>
      </c>
      <c r="P132" s="2" t="s">
        <v>28</v>
      </c>
      <c r="Q132" s="2" t="s">
        <v>60</v>
      </c>
    </row>
    <row r="133" spans="1:17">
      <c r="A133" s="2" t="s">
        <v>309</v>
      </c>
      <c r="B133" s="2" t="str">
        <f>[1]Sheet1!M133</f>
        <v>女</v>
      </c>
      <c r="C133" s="3" t="str" cm="1">
        <f t="array" ref="C1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33" s="2" t="str">
        <f>MID([1]Sheet1!F133,FIND("(",[1]Sheet1!F133)+1,FIND("-",[1]Sheet1!F133)-FIND("(",[1]Sheet1!F133)-1)</f>
        <v>山东</v>
      </c>
      <c r="E133" s="2" t="str">
        <f>MID([1]Sheet1!F133,FIND("-",[1]Sheet1!F133)+1,FIND(")",[1]Sheet1!F133)-FIND("-",[1]Sheet1!F133)-1)</f>
        <v>青岛</v>
      </c>
      <c r="F133" s="2" t="s">
        <v>18</v>
      </c>
      <c r="G133" s="2" t="s">
        <v>114</v>
      </c>
      <c r="H133" s="2" t="s">
        <v>66</v>
      </c>
      <c r="I133" s="2" t="s">
        <v>51</v>
      </c>
      <c r="J133" s="2" t="s">
        <v>22</v>
      </c>
      <c r="K133" s="2" t="s">
        <v>115</v>
      </c>
      <c r="L133" s="2" t="s">
        <v>83</v>
      </c>
      <c r="M133" s="2" t="s">
        <v>126</v>
      </c>
      <c r="N133" s="2" t="s">
        <v>85</v>
      </c>
      <c r="O133" s="2" t="s">
        <v>47</v>
      </c>
      <c r="P133" s="2" t="s">
        <v>28</v>
      </c>
      <c r="Q133" s="2" t="s">
        <v>310</v>
      </c>
    </row>
    <row r="134" spans="1:17">
      <c r="A134" s="2" t="s">
        <v>311</v>
      </c>
      <c r="B134" s="2" t="str">
        <f>[1]Sheet1!M134</f>
        <v>男</v>
      </c>
      <c r="C134" s="3" t="str" cm="1">
        <f t="array" ref="C1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4" s="2" t="str">
        <f>MID([1]Sheet1!F134,FIND("(",[1]Sheet1!F134)+1,FIND("-",[1]Sheet1!F134)-FIND("(",[1]Sheet1!F134)-1)</f>
        <v>广西</v>
      </c>
      <c r="E134" s="2" t="str">
        <f>MID([1]Sheet1!F134,FIND("-",[1]Sheet1!F134)+1,FIND(")",[1]Sheet1!F134)-FIND("-",[1]Sheet1!F134)-1)</f>
        <v>南宁</v>
      </c>
      <c r="F134" s="2" t="s">
        <v>42</v>
      </c>
      <c r="G134" s="2" t="s">
        <v>81</v>
      </c>
      <c r="H134" s="2" t="s">
        <v>66</v>
      </c>
      <c r="I134" s="2" t="s">
        <v>120</v>
      </c>
      <c r="J134" s="2" t="s">
        <v>56</v>
      </c>
      <c r="K134" s="2" t="s">
        <v>117</v>
      </c>
      <c r="L134" s="2" t="s">
        <v>24</v>
      </c>
      <c r="M134" s="2" t="s">
        <v>36</v>
      </c>
      <c r="N134" s="2" t="s">
        <v>37</v>
      </c>
      <c r="O134" s="2" t="s">
        <v>47</v>
      </c>
      <c r="P134" s="2" t="s">
        <v>63</v>
      </c>
      <c r="Q134" s="2" t="s">
        <v>312</v>
      </c>
    </row>
    <row r="135" spans="1:17">
      <c r="A135" s="2" t="s">
        <v>313</v>
      </c>
      <c r="B135" s="2" t="str">
        <f>[1]Sheet1!M135</f>
        <v>女</v>
      </c>
      <c r="C135" s="3" t="str" cm="1">
        <f t="array" ref="C1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5" s="2" t="str">
        <f>MID([1]Sheet1!F135,FIND("(",[1]Sheet1!F135)+1,FIND("-",[1]Sheet1!F135)-FIND("(",[1]Sheet1!F135)-1)</f>
        <v>广东</v>
      </c>
      <c r="E135" s="2" t="str">
        <f>MID([1]Sheet1!F135,FIND("-",[1]Sheet1!F135)+1,FIND(")",[1]Sheet1!F135)-FIND("-",[1]Sheet1!F135)-1)</f>
        <v>茂名</v>
      </c>
      <c r="F135" s="2" t="s">
        <v>42</v>
      </c>
      <c r="G135" s="2" t="s">
        <v>50</v>
      </c>
      <c r="H135" s="2" t="s">
        <v>33</v>
      </c>
      <c r="I135" s="2" t="s">
        <v>51</v>
      </c>
      <c r="J135" s="2" t="s">
        <v>44</v>
      </c>
      <c r="K135" s="2" t="s">
        <v>117</v>
      </c>
      <c r="L135" s="2" t="s">
        <v>24</v>
      </c>
      <c r="M135" s="2" t="s">
        <v>111</v>
      </c>
      <c r="N135" s="2" t="s">
        <v>37</v>
      </c>
      <c r="O135" s="2" t="s">
        <v>47</v>
      </c>
      <c r="P135" s="2" t="s">
        <v>86</v>
      </c>
      <c r="Q135" s="2" t="s">
        <v>48</v>
      </c>
    </row>
    <row r="136" spans="1:17">
      <c r="A136" s="2" t="s">
        <v>314</v>
      </c>
      <c r="B136" s="2" t="str">
        <f>[1]Sheet1!M136</f>
        <v>男</v>
      </c>
      <c r="C136" s="3" t="str" cm="1">
        <f t="array" ref="C1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6" s="2" t="str">
        <f>MID([1]Sheet1!F136,FIND("(",[1]Sheet1!F136)+1,FIND("-",[1]Sheet1!F136)-FIND("(",[1]Sheet1!F136)-1)</f>
        <v>广西</v>
      </c>
      <c r="E136" s="2" t="str">
        <f>MID([1]Sheet1!F136,FIND("-",[1]Sheet1!F136)+1,FIND(")",[1]Sheet1!F136)-FIND("-",[1]Sheet1!F136)-1)</f>
        <v>南宁</v>
      </c>
      <c r="F136" s="2" t="s">
        <v>18</v>
      </c>
      <c r="G136" s="2" t="s">
        <v>19</v>
      </c>
      <c r="H136" s="2" t="s">
        <v>66</v>
      </c>
      <c r="I136" s="2" t="s">
        <v>21</v>
      </c>
      <c r="J136" s="2" t="s">
        <v>82</v>
      </c>
      <c r="K136" s="2" t="s">
        <v>121</v>
      </c>
      <c r="L136" s="2" t="s">
        <v>24</v>
      </c>
      <c r="M136" s="2" t="s">
        <v>36</v>
      </c>
      <c r="N136" s="2" t="s">
        <v>37</v>
      </c>
      <c r="O136" s="2" t="s">
        <v>47</v>
      </c>
      <c r="P136" s="2" t="s">
        <v>28</v>
      </c>
      <c r="Q136" s="2" t="s">
        <v>269</v>
      </c>
    </row>
    <row r="137" spans="1:17">
      <c r="A137" s="2" t="s">
        <v>315</v>
      </c>
      <c r="B137" s="2" t="str">
        <f>[1]Sheet1!M137</f>
        <v>女</v>
      </c>
      <c r="C137" s="3" t="str" cm="1">
        <f t="array" ref="C1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37" s="2" t="str">
        <f>MID([1]Sheet1!F137,FIND("(",[1]Sheet1!F137)+1,FIND("-",[1]Sheet1!F137)-FIND("(",[1]Sheet1!F137)-1)</f>
        <v>广东</v>
      </c>
      <c r="E137" s="2" t="str">
        <f>MID([1]Sheet1!F137,FIND("-",[1]Sheet1!F137)+1,FIND(")",[1]Sheet1!F137)-FIND("-",[1]Sheet1!F137)-1)</f>
        <v>汕头</v>
      </c>
      <c r="F137" s="2" t="s">
        <v>18</v>
      </c>
      <c r="G137" s="2" t="s">
        <v>81</v>
      </c>
      <c r="H137" s="2" t="s">
        <v>33</v>
      </c>
      <c r="I137" s="2" t="s">
        <v>21</v>
      </c>
      <c r="J137" s="2" t="s">
        <v>77</v>
      </c>
      <c r="K137" s="2" t="s">
        <v>117</v>
      </c>
      <c r="L137" s="2" t="s">
        <v>83</v>
      </c>
      <c r="M137" s="2" t="s">
        <v>111</v>
      </c>
      <c r="N137" s="2" t="s">
        <v>85</v>
      </c>
      <c r="O137" s="2" t="s">
        <v>316</v>
      </c>
      <c r="P137" s="2" t="s">
        <v>179</v>
      </c>
      <c r="Q137" s="2" t="s">
        <v>48</v>
      </c>
    </row>
    <row r="138" spans="1:17">
      <c r="A138" s="2" t="s">
        <v>317</v>
      </c>
      <c r="B138" s="2" t="str">
        <f>[1]Sheet1!M138</f>
        <v>男</v>
      </c>
      <c r="C138" s="3" t="str" cm="1">
        <f t="array" ref="C1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38" s="2" t="str">
        <f>MID([1]Sheet1!F138,FIND("(",[1]Sheet1!F138)+1,FIND("-",[1]Sheet1!F138)-FIND("(",[1]Sheet1!F138)-1)</f>
        <v>湖南</v>
      </c>
      <c r="E138" s="2" t="str">
        <f>MID([1]Sheet1!F138,FIND("-",[1]Sheet1!F138)+1,FIND(")",[1]Sheet1!F138)-FIND("-",[1]Sheet1!F138)-1)</f>
        <v>娄底</v>
      </c>
      <c r="F138" s="2" t="s">
        <v>42</v>
      </c>
      <c r="G138" s="2" t="s">
        <v>19</v>
      </c>
      <c r="H138" s="2" t="s">
        <v>33</v>
      </c>
      <c r="I138" s="2" t="s">
        <v>21</v>
      </c>
      <c r="J138" s="2" t="s">
        <v>22</v>
      </c>
      <c r="K138" s="2" t="s">
        <v>117</v>
      </c>
      <c r="L138" s="2" t="s">
        <v>24</v>
      </c>
      <c r="M138" s="2" t="s">
        <v>36</v>
      </c>
      <c r="N138" s="2" t="s">
        <v>37</v>
      </c>
      <c r="O138" s="2" t="s">
        <v>106</v>
      </c>
      <c r="P138" s="2" t="s">
        <v>86</v>
      </c>
      <c r="Q138" s="2" t="s">
        <v>318</v>
      </c>
    </row>
    <row r="139" spans="1:17">
      <c r="A139" s="2" t="s">
        <v>319</v>
      </c>
      <c r="B139" s="2" t="str">
        <f>[1]Sheet1!M139</f>
        <v>男</v>
      </c>
      <c r="C139" s="3" t="str" cm="1">
        <f t="array" ref="C1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39" s="2" t="str">
        <f>MID([1]Sheet1!F139,FIND("(",[1]Sheet1!F139)+1,FIND("-",[1]Sheet1!F139)-FIND("(",[1]Sheet1!F139)-1)</f>
        <v>浙江</v>
      </c>
      <c r="E139" s="2" t="str">
        <f>MID([1]Sheet1!F139,FIND("-",[1]Sheet1!F139)+1,FIND(")",[1]Sheet1!F139)-FIND("-",[1]Sheet1!F139)-1)</f>
        <v>绍兴</v>
      </c>
      <c r="F139" s="2" t="s">
        <v>31</v>
      </c>
      <c r="G139" s="2" t="s">
        <v>50</v>
      </c>
      <c r="H139" s="2" t="s">
        <v>20</v>
      </c>
      <c r="I139" s="2" t="s">
        <v>34</v>
      </c>
      <c r="J139" s="2" t="s">
        <v>44</v>
      </c>
      <c r="K139" s="2" t="s">
        <v>320</v>
      </c>
      <c r="L139" s="2" t="s">
        <v>83</v>
      </c>
      <c r="M139" s="2" t="s">
        <v>67</v>
      </c>
      <c r="N139" s="2" t="s">
        <v>37</v>
      </c>
      <c r="O139" s="2" t="s">
        <v>192</v>
      </c>
      <c r="P139" s="2" t="s">
        <v>39</v>
      </c>
      <c r="Q139" s="2" t="s">
        <v>321</v>
      </c>
    </row>
    <row r="140" spans="1:17">
      <c r="A140" s="2" t="s">
        <v>322</v>
      </c>
      <c r="B140" s="2" t="str">
        <f>[1]Sheet1!M140</f>
        <v>男</v>
      </c>
      <c r="C140" s="3" t="str" cm="1">
        <f t="array" ref="C1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40" s="2" t="str">
        <f>MID([1]Sheet1!F140,FIND("(",[1]Sheet1!F140)+1,FIND("-",[1]Sheet1!F140)-FIND("(",[1]Sheet1!F140)-1)</f>
        <v>广东</v>
      </c>
      <c r="E140" s="2" t="str">
        <f>MID([1]Sheet1!F140,FIND("-",[1]Sheet1!F140)+1,FIND(")",[1]Sheet1!F140)-FIND("-",[1]Sheet1!F140)-1)</f>
        <v>深圳</v>
      </c>
      <c r="F140" s="2" t="s">
        <v>88</v>
      </c>
      <c r="G140" s="2" t="s">
        <v>81</v>
      </c>
      <c r="H140" s="2" t="s">
        <v>66</v>
      </c>
      <c r="I140" s="2" t="s">
        <v>120</v>
      </c>
      <c r="J140" s="2" t="s">
        <v>82</v>
      </c>
      <c r="K140" s="2" t="s">
        <v>117</v>
      </c>
      <c r="L140" s="2" t="s">
        <v>24</v>
      </c>
      <c r="M140" s="2" t="s">
        <v>36</v>
      </c>
      <c r="N140" s="2" t="s">
        <v>26</v>
      </c>
      <c r="O140" s="2" t="s">
        <v>47</v>
      </c>
      <c r="P140" s="2" t="s">
        <v>39</v>
      </c>
      <c r="Q140" s="2" t="s">
        <v>172</v>
      </c>
    </row>
    <row r="141" spans="1:17">
      <c r="A141" s="2" t="s">
        <v>323</v>
      </c>
      <c r="B141" s="2" t="str">
        <f>[1]Sheet1!M141</f>
        <v>男</v>
      </c>
      <c r="C141" s="3" t="str" cm="1">
        <f t="array" ref="C1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41" s="2" t="str">
        <f>MID([1]Sheet1!F141,FIND("(",[1]Sheet1!F141)+1,FIND("-",[1]Sheet1!F141)-FIND("(",[1]Sheet1!F141)-1)</f>
        <v>广东</v>
      </c>
      <c r="E141" s="2" t="str">
        <f>MID([1]Sheet1!F141,FIND("-",[1]Sheet1!F141)+1,FIND(")",[1]Sheet1!F141)-FIND("-",[1]Sheet1!F141)-1)</f>
        <v>东莞</v>
      </c>
      <c r="F141" s="2" t="s">
        <v>42</v>
      </c>
      <c r="G141" s="2" t="s">
        <v>114</v>
      </c>
      <c r="H141" s="2" t="s">
        <v>66</v>
      </c>
      <c r="I141" s="2" t="s">
        <v>120</v>
      </c>
      <c r="J141" s="2" t="s">
        <v>96</v>
      </c>
      <c r="K141" s="2" t="s">
        <v>115</v>
      </c>
      <c r="L141" s="2" t="s">
        <v>83</v>
      </c>
      <c r="M141" s="2" t="s">
        <v>78</v>
      </c>
      <c r="N141" s="2" t="s">
        <v>105</v>
      </c>
      <c r="O141" s="2" t="s">
        <v>187</v>
      </c>
      <c r="P141" s="2" t="s">
        <v>39</v>
      </c>
      <c r="Q141" s="2" t="s">
        <v>324</v>
      </c>
    </row>
    <row r="142" spans="1:17">
      <c r="A142" s="2" t="s">
        <v>325</v>
      </c>
      <c r="B142" s="2" t="str">
        <f>[1]Sheet1!M142</f>
        <v>男</v>
      </c>
      <c r="C142" s="3" t="str" cm="1">
        <f t="array" ref="C1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42" s="2" t="str">
        <f>MID([1]Sheet1!F142,FIND("(",[1]Sheet1!F142)+1,FIND("-",[1]Sheet1!F142)-FIND("(",[1]Sheet1!F142)-1)</f>
        <v>江苏</v>
      </c>
      <c r="E142" s="2" t="str">
        <f>MID([1]Sheet1!F142,FIND("-",[1]Sheet1!F142)+1,FIND(")",[1]Sheet1!F142)-FIND("-",[1]Sheet1!F142)-1)</f>
        <v>徐州</v>
      </c>
      <c r="F142" s="2" t="s">
        <v>88</v>
      </c>
      <c r="G142" s="2" t="s">
        <v>81</v>
      </c>
      <c r="H142" s="2" t="s">
        <v>33</v>
      </c>
      <c r="I142" s="2" t="s">
        <v>120</v>
      </c>
      <c r="J142" s="2" t="s">
        <v>96</v>
      </c>
      <c r="K142" s="2" t="s">
        <v>117</v>
      </c>
      <c r="L142" s="2" t="s">
        <v>24</v>
      </c>
      <c r="M142" s="2" t="s">
        <v>143</v>
      </c>
      <c r="N142" s="2" t="s">
        <v>37</v>
      </c>
      <c r="O142" s="2" t="s">
        <v>47</v>
      </c>
      <c r="P142" s="2" t="s">
        <v>39</v>
      </c>
      <c r="Q142" s="2" t="s">
        <v>118</v>
      </c>
    </row>
    <row r="143" spans="1:17">
      <c r="A143" s="2" t="s">
        <v>326</v>
      </c>
      <c r="B143" s="2" t="str">
        <f>[1]Sheet1!M143</f>
        <v>男</v>
      </c>
      <c r="C143" s="3" t="str" cm="1">
        <f t="array" ref="C1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43" s="2" t="str">
        <f>MID([1]Sheet1!F143,FIND("(",[1]Sheet1!F143)+1,FIND("-",[1]Sheet1!F143)-FIND("(",[1]Sheet1!F143)-1)</f>
        <v>山东</v>
      </c>
      <c r="E143" s="2" t="str">
        <f>MID([1]Sheet1!F143,FIND("-",[1]Sheet1!F143)+1,FIND(")",[1]Sheet1!F143)-FIND("-",[1]Sheet1!F143)-1)</f>
        <v>青岛</v>
      </c>
      <c r="F143" s="2" t="s">
        <v>42</v>
      </c>
      <c r="G143" s="2" t="s">
        <v>50</v>
      </c>
      <c r="H143" s="2" t="s">
        <v>66</v>
      </c>
      <c r="I143" s="2" t="s">
        <v>73</v>
      </c>
      <c r="J143" s="2" t="s">
        <v>44</v>
      </c>
      <c r="K143" s="2" t="s">
        <v>115</v>
      </c>
      <c r="L143" s="2" t="s">
        <v>83</v>
      </c>
      <c r="M143" s="2" t="s">
        <v>71</v>
      </c>
      <c r="N143" s="2" t="s">
        <v>37</v>
      </c>
      <c r="O143" s="2" t="s">
        <v>27</v>
      </c>
      <c r="P143" s="2" t="s">
        <v>63</v>
      </c>
      <c r="Q143" s="2" t="s">
        <v>48</v>
      </c>
    </row>
    <row r="144" spans="1:17">
      <c r="A144" s="2" t="s">
        <v>327</v>
      </c>
      <c r="B144" s="2" t="str">
        <f>[1]Sheet1!M144</f>
        <v>男</v>
      </c>
      <c r="C144" s="3" t="str" cm="1">
        <f t="array" ref="C1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44" s="2" t="str">
        <f>MID([1]Sheet1!F144,FIND("(",[1]Sheet1!F144)+1,FIND("-",[1]Sheet1!F144)-FIND("(",[1]Sheet1!F144)-1)</f>
        <v>北京</v>
      </c>
      <c r="E144" s="2" t="str">
        <f>MID([1]Sheet1!F144,FIND("-",[1]Sheet1!F144)+1,FIND(")",[1]Sheet1!F144)-FIND("-",[1]Sheet1!F144)-1)</f>
        <v>北京</v>
      </c>
      <c r="F144" s="2" t="s">
        <v>88</v>
      </c>
      <c r="G144" s="2" t="s">
        <v>50</v>
      </c>
      <c r="H144" s="2" t="s">
        <v>66</v>
      </c>
      <c r="I144" s="2" t="s">
        <v>51</v>
      </c>
      <c r="J144" s="2" t="s">
        <v>56</v>
      </c>
      <c r="K144" s="2" t="s">
        <v>117</v>
      </c>
      <c r="L144" s="2" t="s">
        <v>24</v>
      </c>
      <c r="M144" s="2" t="s">
        <v>84</v>
      </c>
      <c r="N144" s="2" t="s">
        <v>85</v>
      </c>
      <c r="O144" s="2" t="s">
        <v>47</v>
      </c>
      <c r="P144" s="2" t="s">
        <v>39</v>
      </c>
      <c r="Q144" s="2" t="s">
        <v>328</v>
      </c>
    </row>
    <row r="145" spans="1:17">
      <c r="A145" s="2" t="s">
        <v>329</v>
      </c>
      <c r="B145" s="2" t="str">
        <f>[1]Sheet1!M145</f>
        <v>男</v>
      </c>
      <c r="C145" s="3" t="str" cm="1">
        <f t="array" ref="C1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45" s="2" t="str">
        <f>MID([1]Sheet1!F145,FIND("(",[1]Sheet1!F145)+1,FIND("-",[1]Sheet1!F145)-FIND("(",[1]Sheet1!F145)-1)</f>
        <v>广西</v>
      </c>
      <c r="E145" s="2" t="str">
        <f>MID([1]Sheet1!F145,FIND("-",[1]Sheet1!F145)+1,FIND(")",[1]Sheet1!F145)-FIND("-",[1]Sheet1!F145)-1)</f>
        <v>南宁</v>
      </c>
      <c r="F145" s="2" t="s">
        <v>18</v>
      </c>
      <c r="G145" s="2" t="s">
        <v>19</v>
      </c>
      <c r="H145" s="2" t="s">
        <v>66</v>
      </c>
      <c r="I145" s="2" t="s">
        <v>43</v>
      </c>
      <c r="J145" s="2" t="s">
        <v>96</v>
      </c>
      <c r="K145" s="2" t="s">
        <v>117</v>
      </c>
      <c r="L145" s="2" t="s">
        <v>24</v>
      </c>
      <c r="M145" s="2" t="s">
        <v>25</v>
      </c>
      <c r="N145" s="2" t="s">
        <v>37</v>
      </c>
      <c r="O145" s="2" t="s">
        <v>58</v>
      </c>
      <c r="P145" s="2" t="s">
        <v>63</v>
      </c>
      <c r="Q145" s="2" t="s">
        <v>150</v>
      </c>
    </row>
    <row r="146" spans="1:17">
      <c r="A146" s="2" t="s">
        <v>330</v>
      </c>
      <c r="B146" s="2" t="str">
        <f>[1]Sheet1!M146</f>
        <v>男</v>
      </c>
      <c r="C146" s="3" t="str" cm="1">
        <f t="array" ref="C1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46" s="2" t="str">
        <f>MID([1]Sheet1!F146,FIND("(",[1]Sheet1!F146)+1,FIND("-",[1]Sheet1!F146)-FIND("(",[1]Sheet1!F146)-1)</f>
        <v>湖北</v>
      </c>
      <c r="E146" s="2" t="str">
        <f>MID([1]Sheet1!F146,FIND("-",[1]Sheet1!F146)+1,FIND(")",[1]Sheet1!F146)-FIND("-",[1]Sheet1!F146)-1)</f>
        <v>荆门</v>
      </c>
      <c r="F146" s="2" t="s">
        <v>42</v>
      </c>
      <c r="G146" s="2" t="s">
        <v>32</v>
      </c>
      <c r="H146" s="2" t="s">
        <v>20</v>
      </c>
      <c r="I146" s="2" t="s">
        <v>43</v>
      </c>
      <c r="J146" s="2" t="s">
        <v>35</v>
      </c>
      <c r="K146" s="2" t="s">
        <v>115</v>
      </c>
      <c r="L146" s="2" t="s">
        <v>24</v>
      </c>
      <c r="M146" s="2" t="s">
        <v>143</v>
      </c>
      <c r="N146" s="2" t="s">
        <v>37</v>
      </c>
      <c r="O146" s="2" t="s">
        <v>74</v>
      </c>
      <c r="P146" s="2" t="s">
        <v>39</v>
      </c>
      <c r="Q146" s="2" t="s">
        <v>275</v>
      </c>
    </row>
    <row r="147" spans="1:17">
      <c r="A147" s="2" t="s">
        <v>331</v>
      </c>
      <c r="B147" s="2" t="str">
        <f>[1]Sheet1!M147</f>
        <v>男</v>
      </c>
      <c r="C147" s="3" t="str" cm="1">
        <f t="array" ref="C1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47" s="2" t="str">
        <f>MID([1]Sheet1!F147,FIND("(",[1]Sheet1!F147)+1,FIND("-",[1]Sheet1!F147)-FIND("(",[1]Sheet1!F147)-1)</f>
        <v>安徽</v>
      </c>
      <c r="E147" s="2" t="str">
        <f>MID([1]Sheet1!F147,FIND("-",[1]Sheet1!F147)+1,FIND(")",[1]Sheet1!F147)-FIND("-",[1]Sheet1!F147)-1)</f>
        <v>亳州</v>
      </c>
      <c r="F147" s="2" t="s">
        <v>31</v>
      </c>
      <c r="G147" s="2" t="s">
        <v>19</v>
      </c>
      <c r="H147" s="2" t="s">
        <v>66</v>
      </c>
      <c r="I147" s="2" t="s">
        <v>120</v>
      </c>
      <c r="J147" s="2" t="s">
        <v>56</v>
      </c>
      <c r="K147" s="2" t="s">
        <v>117</v>
      </c>
      <c r="L147" s="2" t="s">
        <v>24</v>
      </c>
      <c r="M147" s="2" t="s">
        <v>111</v>
      </c>
      <c r="N147" s="2" t="s">
        <v>37</v>
      </c>
      <c r="O147" s="2" t="s">
        <v>47</v>
      </c>
      <c r="P147" s="2" t="s">
        <v>86</v>
      </c>
      <c r="Q147" s="2" t="s">
        <v>150</v>
      </c>
    </row>
    <row r="148" spans="1:17">
      <c r="A148" s="2" t="s">
        <v>332</v>
      </c>
      <c r="B148" s="2" t="str">
        <f>[1]Sheet1!M148</f>
        <v>男</v>
      </c>
      <c r="C148" s="3" t="str" cm="1">
        <f t="array" ref="C1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48" s="2" t="str">
        <f>MID([1]Sheet1!F148,FIND("(",[1]Sheet1!F148)+1,FIND("-",[1]Sheet1!F148)-FIND("(",[1]Sheet1!F148)-1)</f>
        <v>安徽</v>
      </c>
      <c r="E148" s="2" t="str">
        <f>MID([1]Sheet1!F148,FIND("-",[1]Sheet1!F148)+1,FIND(")",[1]Sheet1!F148)-FIND("-",[1]Sheet1!F148)-1)</f>
        <v>六安</v>
      </c>
      <c r="F148" s="2" t="s">
        <v>31</v>
      </c>
      <c r="G148" s="2" t="s">
        <v>81</v>
      </c>
      <c r="H148" s="2" t="s">
        <v>66</v>
      </c>
      <c r="I148" s="2" t="s">
        <v>43</v>
      </c>
      <c r="J148" s="2" t="s">
        <v>56</v>
      </c>
      <c r="K148" s="2" t="s">
        <v>117</v>
      </c>
      <c r="L148" s="2" t="s">
        <v>24</v>
      </c>
      <c r="M148" s="2" t="s">
        <v>36</v>
      </c>
      <c r="N148" s="2" t="s">
        <v>37</v>
      </c>
      <c r="O148" s="2" t="s">
        <v>27</v>
      </c>
      <c r="P148" s="2" t="s">
        <v>39</v>
      </c>
      <c r="Q148" s="2" t="s">
        <v>144</v>
      </c>
    </row>
    <row r="149" spans="1:17">
      <c r="A149" s="2" t="s">
        <v>333</v>
      </c>
      <c r="B149" s="2" t="str">
        <f>[1]Sheet1!M149</f>
        <v>男</v>
      </c>
      <c r="C149" s="3" t="str" cm="1">
        <f t="array" ref="C1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49" s="2" t="str">
        <f>MID([1]Sheet1!F149,FIND("(",[1]Sheet1!F149)+1,FIND("-",[1]Sheet1!F149)-FIND("(",[1]Sheet1!F149)-1)</f>
        <v>湖北</v>
      </c>
      <c r="E149" s="2" t="str">
        <f>MID([1]Sheet1!F149,FIND("-",[1]Sheet1!F149)+1,FIND(")",[1]Sheet1!F149)-FIND("-",[1]Sheet1!F149)-1)</f>
        <v>武汉</v>
      </c>
      <c r="F149" s="2" t="s">
        <v>42</v>
      </c>
      <c r="G149" s="2" t="s">
        <v>50</v>
      </c>
      <c r="H149" s="2" t="s">
        <v>250</v>
      </c>
      <c r="I149" s="2" t="s">
        <v>211</v>
      </c>
      <c r="J149" s="2" t="s">
        <v>96</v>
      </c>
      <c r="K149" s="2" t="s">
        <v>223</v>
      </c>
      <c r="L149" s="2" t="s">
        <v>24</v>
      </c>
      <c r="M149" s="2" t="s">
        <v>126</v>
      </c>
      <c r="N149" s="2" t="s">
        <v>46</v>
      </c>
      <c r="O149" s="2" t="s">
        <v>47</v>
      </c>
      <c r="P149" s="2" t="s">
        <v>39</v>
      </c>
      <c r="Q149" s="2" t="s">
        <v>334</v>
      </c>
    </row>
    <row r="150" spans="1:17">
      <c r="A150" s="2" t="s">
        <v>335</v>
      </c>
      <c r="B150" s="2" t="str">
        <f>[1]Sheet1!M150</f>
        <v>男</v>
      </c>
      <c r="C150" s="3" t="str" cm="1">
        <f t="array" ref="C1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50" s="2" t="str">
        <f>MID([1]Sheet1!F150,FIND("(",[1]Sheet1!F150)+1,FIND("-",[1]Sheet1!F150)-FIND("(",[1]Sheet1!F150)-1)</f>
        <v>广西</v>
      </c>
      <c r="E150" s="2" t="str">
        <f>MID([1]Sheet1!F150,FIND("-",[1]Sheet1!F150)+1,FIND(")",[1]Sheet1!F150)-FIND("-",[1]Sheet1!F150)-1)</f>
        <v>防城港</v>
      </c>
      <c r="F150" s="2" t="s">
        <v>18</v>
      </c>
      <c r="G150" s="2" t="s">
        <v>32</v>
      </c>
      <c r="H150" s="2" t="s">
        <v>66</v>
      </c>
      <c r="I150" s="2" t="s">
        <v>43</v>
      </c>
      <c r="J150" s="2" t="s">
        <v>82</v>
      </c>
      <c r="K150" s="2" t="s">
        <v>115</v>
      </c>
      <c r="L150" s="2" t="s">
        <v>24</v>
      </c>
      <c r="M150" s="2" t="s">
        <v>36</v>
      </c>
      <c r="N150" s="2" t="s">
        <v>85</v>
      </c>
      <c r="O150" s="2" t="s">
        <v>204</v>
      </c>
      <c r="P150" s="2" t="s">
        <v>39</v>
      </c>
      <c r="Q150" s="2" t="s">
        <v>328</v>
      </c>
    </row>
    <row r="151" spans="1:17">
      <c r="A151" s="2" t="s">
        <v>336</v>
      </c>
      <c r="B151" s="2" t="str">
        <f>[1]Sheet1!M151</f>
        <v>男</v>
      </c>
      <c r="C151" s="3" t="str" cm="1">
        <f t="array" ref="C1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51" s="2" t="str">
        <f>MID([1]Sheet1!F151,FIND("(",[1]Sheet1!F151)+1,FIND("-",[1]Sheet1!F151)-FIND("(",[1]Sheet1!F151)-1)</f>
        <v>湖南</v>
      </c>
      <c r="E151" s="2" t="str">
        <f>MID([1]Sheet1!F151,FIND("-",[1]Sheet1!F151)+1,FIND(")",[1]Sheet1!F151)-FIND("-",[1]Sheet1!F151)-1)</f>
        <v>娄底</v>
      </c>
      <c r="F151" s="2" t="s">
        <v>31</v>
      </c>
      <c r="G151" s="2" t="s">
        <v>81</v>
      </c>
      <c r="H151" s="2" t="s">
        <v>66</v>
      </c>
      <c r="I151" s="2" t="s">
        <v>51</v>
      </c>
      <c r="J151" s="2" t="s">
        <v>96</v>
      </c>
      <c r="K151" s="2" t="s">
        <v>121</v>
      </c>
      <c r="L151" s="2" t="s">
        <v>24</v>
      </c>
      <c r="M151" s="2" t="s">
        <v>25</v>
      </c>
      <c r="N151" s="2" t="s">
        <v>85</v>
      </c>
      <c r="O151" s="2" t="s">
        <v>58</v>
      </c>
      <c r="P151" s="2" t="s">
        <v>59</v>
      </c>
      <c r="Q151" s="2" t="s">
        <v>214</v>
      </c>
    </row>
    <row r="152" spans="1:17">
      <c r="A152" s="2" t="s">
        <v>337</v>
      </c>
      <c r="B152" s="2" t="str">
        <f>[1]Sheet1!M152</f>
        <v>男</v>
      </c>
      <c r="C152" s="3" t="str" cm="1">
        <f t="array" ref="C1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52" s="2" t="str">
        <f>MID([1]Sheet1!F152,FIND("(",[1]Sheet1!F152)+1,FIND("-",[1]Sheet1!F152)-FIND("(",[1]Sheet1!F152)-1)</f>
        <v>河南</v>
      </c>
      <c r="E152" s="2" t="str">
        <f>MID([1]Sheet1!F152,FIND("-",[1]Sheet1!F152)+1,FIND(")",[1]Sheet1!F152)-FIND("-",[1]Sheet1!F152)-1)</f>
        <v>许昌</v>
      </c>
      <c r="F152" s="2" t="s">
        <v>42</v>
      </c>
      <c r="G152" s="2" t="s">
        <v>50</v>
      </c>
      <c r="H152" s="2" t="s">
        <v>66</v>
      </c>
      <c r="I152" s="2" t="s">
        <v>21</v>
      </c>
      <c r="J152" s="2" t="s">
        <v>96</v>
      </c>
      <c r="K152" s="2" t="s">
        <v>117</v>
      </c>
      <c r="L152" s="2" t="s">
        <v>24</v>
      </c>
      <c r="M152" s="2" t="s">
        <v>111</v>
      </c>
      <c r="N152" s="2" t="s">
        <v>37</v>
      </c>
      <c r="O152" s="2" t="s">
        <v>27</v>
      </c>
      <c r="P152" s="2" t="s">
        <v>175</v>
      </c>
      <c r="Q152" s="2" t="s">
        <v>101</v>
      </c>
    </row>
    <row r="153" spans="1:17">
      <c r="A153" s="2" t="s">
        <v>338</v>
      </c>
      <c r="B153" s="2" t="str">
        <f>[1]Sheet1!M153</f>
        <v>女</v>
      </c>
      <c r="C153" s="3" t="str" cm="1">
        <f t="array" ref="C1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53" s="2" t="str">
        <f>MID([1]Sheet1!F153,FIND("(",[1]Sheet1!F153)+1,FIND("-",[1]Sheet1!F153)-FIND("(",[1]Sheet1!F153)-1)</f>
        <v>广东</v>
      </c>
      <c r="E153" s="2" t="str">
        <f>MID([1]Sheet1!F153,FIND("-",[1]Sheet1!F153)+1,FIND(")",[1]Sheet1!F153)-FIND("-",[1]Sheet1!F153)-1)</f>
        <v>深圳</v>
      </c>
      <c r="F153" s="2" t="s">
        <v>31</v>
      </c>
      <c r="G153" s="2" t="s">
        <v>32</v>
      </c>
      <c r="H153" s="2" t="s">
        <v>66</v>
      </c>
      <c r="I153" s="2" t="s">
        <v>120</v>
      </c>
      <c r="J153" s="2" t="s">
        <v>56</v>
      </c>
      <c r="K153" s="2" t="s">
        <v>130</v>
      </c>
      <c r="L153" s="2" t="s">
        <v>24</v>
      </c>
      <c r="M153" s="2" t="s">
        <v>78</v>
      </c>
      <c r="N153" s="2" t="s">
        <v>26</v>
      </c>
      <c r="O153" s="2" t="s">
        <v>27</v>
      </c>
      <c r="P153" s="2" t="s">
        <v>39</v>
      </c>
      <c r="Q153" s="2" t="s">
        <v>339</v>
      </c>
    </row>
    <row r="154" spans="1:17">
      <c r="A154" s="2" t="s">
        <v>340</v>
      </c>
      <c r="B154" s="2" t="str">
        <f>[1]Sheet1!M154</f>
        <v>女</v>
      </c>
      <c r="C154" s="3" t="str" cm="1">
        <f t="array" ref="C1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54" s="2" t="str">
        <f>MID([1]Sheet1!F154,FIND("(",[1]Sheet1!F154)+1,FIND("-",[1]Sheet1!F154)-FIND("(",[1]Sheet1!F154)-1)</f>
        <v>广西</v>
      </c>
      <c r="E154" s="2" t="str">
        <f>MID([1]Sheet1!F154,FIND("-",[1]Sheet1!F154)+1,FIND(")",[1]Sheet1!F154)-FIND("-",[1]Sheet1!F154)-1)</f>
        <v>柳州</v>
      </c>
      <c r="F154" s="2" t="s">
        <v>31</v>
      </c>
      <c r="G154" s="2" t="s">
        <v>50</v>
      </c>
      <c r="H154" s="2" t="s">
        <v>66</v>
      </c>
      <c r="I154" s="2" t="s">
        <v>211</v>
      </c>
      <c r="J154" s="2" t="s">
        <v>22</v>
      </c>
      <c r="K154" s="2" t="s">
        <v>117</v>
      </c>
      <c r="L154" s="2" t="s">
        <v>24</v>
      </c>
      <c r="M154" s="2" t="s">
        <v>78</v>
      </c>
      <c r="N154" s="2" t="s">
        <v>46</v>
      </c>
      <c r="O154" s="2" t="s">
        <v>47</v>
      </c>
      <c r="P154" s="2" t="s">
        <v>39</v>
      </c>
      <c r="Q154" s="2" t="s">
        <v>48</v>
      </c>
    </row>
    <row r="155" spans="1:17">
      <c r="A155" s="2" t="s">
        <v>341</v>
      </c>
      <c r="B155" s="2" t="str">
        <f>[1]Sheet1!M155</f>
        <v>女</v>
      </c>
      <c r="C155" s="3" t="str" cm="1">
        <f t="array" ref="C1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55" s="2" t="str">
        <f>MID([1]Sheet1!F155,FIND("(",[1]Sheet1!F155)+1,FIND("-",[1]Sheet1!F155)-FIND("(",[1]Sheet1!F155)-1)</f>
        <v>湖南</v>
      </c>
      <c r="E155" s="2" t="str">
        <f>MID([1]Sheet1!F155,FIND("-",[1]Sheet1!F155)+1,FIND(")",[1]Sheet1!F155)-FIND("-",[1]Sheet1!F155)-1)</f>
        <v>长沙</v>
      </c>
      <c r="F155" s="2" t="s">
        <v>31</v>
      </c>
      <c r="G155" s="2" t="s">
        <v>50</v>
      </c>
      <c r="H155" s="2" t="s">
        <v>33</v>
      </c>
      <c r="I155" s="2" t="s">
        <v>34</v>
      </c>
      <c r="J155" s="2" t="s">
        <v>44</v>
      </c>
      <c r="K155" s="2" t="s">
        <v>117</v>
      </c>
      <c r="L155" s="2" t="s">
        <v>83</v>
      </c>
      <c r="M155" s="2" t="s">
        <v>71</v>
      </c>
      <c r="N155" s="2" t="s">
        <v>46</v>
      </c>
      <c r="O155" s="2" t="s">
        <v>58</v>
      </c>
      <c r="P155" s="2" t="s">
        <v>28</v>
      </c>
      <c r="Q155" s="2" t="s">
        <v>172</v>
      </c>
    </row>
    <row r="156" spans="1:17">
      <c r="A156" s="2" t="s">
        <v>342</v>
      </c>
      <c r="B156" s="2" t="str">
        <f>[1]Sheet1!M156</f>
        <v>男</v>
      </c>
      <c r="C156" s="3" t="str" cm="1">
        <f t="array" ref="C1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56" s="2" t="str">
        <f>MID([1]Sheet1!F156,FIND("(",[1]Sheet1!F156)+1,FIND("-",[1]Sheet1!F156)-FIND("(",[1]Sheet1!F156)-1)</f>
        <v>广东</v>
      </c>
      <c r="E156" s="2" t="str">
        <f>MID([1]Sheet1!F156,FIND("-",[1]Sheet1!F156)+1,FIND(")",[1]Sheet1!F156)-FIND("-",[1]Sheet1!F156)-1)</f>
        <v>广州</v>
      </c>
      <c r="F156" s="2" t="s">
        <v>18</v>
      </c>
      <c r="G156" s="2" t="s">
        <v>81</v>
      </c>
      <c r="H156" s="2" t="s">
        <v>33</v>
      </c>
      <c r="I156" s="2" t="s">
        <v>43</v>
      </c>
      <c r="J156" s="2" t="s">
        <v>44</v>
      </c>
      <c r="K156" s="2" t="s">
        <v>115</v>
      </c>
      <c r="L156" s="2" t="s">
        <v>24</v>
      </c>
      <c r="M156" s="2" t="s">
        <v>25</v>
      </c>
      <c r="N156" s="2" t="s">
        <v>37</v>
      </c>
      <c r="O156" s="2" t="s">
        <v>47</v>
      </c>
      <c r="P156" s="2" t="s">
        <v>39</v>
      </c>
      <c r="Q156" s="2" t="s">
        <v>343</v>
      </c>
    </row>
    <row r="157" spans="1:17">
      <c r="A157" s="2" t="s">
        <v>344</v>
      </c>
      <c r="B157" s="2" t="str">
        <f>[1]Sheet1!M157</f>
        <v>男</v>
      </c>
      <c r="C157" s="3" t="str" cm="1">
        <f t="array" ref="C1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57" s="2" t="str">
        <f>MID([1]Sheet1!F157,FIND("(",[1]Sheet1!F157)+1,FIND("-",[1]Sheet1!F157)-FIND("(",[1]Sheet1!F157)-1)</f>
        <v>广东</v>
      </c>
      <c r="E157" s="2" t="str">
        <f>MID([1]Sheet1!F157,FIND("-",[1]Sheet1!F157)+1,FIND(")",[1]Sheet1!F157)-FIND("-",[1]Sheet1!F157)-1)</f>
        <v>广州</v>
      </c>
      <c r="F157" s="2" t="s">
        <v>88</v>
      </c>
      <c r="G157" s="2" t="s">
        <v>32</v>
      </c>
      <c r="H157" s="2" t="s">
        <v>66</v>
      </c>
      <c r="I157" s="2" t="s">
        <v>120</v>
      </c>
      <c r="J157" s="2" t="s">
        <v>96</v>
      </c>
      <c r="K157" s="2" t="s">
        <v>115</v>
      </c>
      <c r="L157" s="2" t="s">
        <v>24</v>
      </c>
      <c r="M157" s="2" t="s">
        <v>36</v>
      </c>
      <c r="N157" s="2" t="s">
        <v>26</v>
      </c>
      <c r="O157" s="2" t="s">
        <v>47</v>
      </c>
      <c r="P157" s="2" t="s">
        <v>63</v>
      </c>
      <c r="Q157" s="2" t="s">
        <v>172</v>
      </c>
    </row>
    <row r="158" spans="1:17">
      <c r="A158" s="2" t="s">
        <v>345</v>
      </c>
      <c r="B158" s="2" t="str">
        <f>[1]Sheet1!M158</f>
        <v>男</v>
      </c>
      <c r="C158" s="3" t="str" cm="1">
        <f t="array" ref="C1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58" s="2" t="str">
        <f>MID([1]Sheet1!F158,FIND("(",[1]Sheet1!F158)+1,FIND("-",[1]Sheet1!F158)-FIND("(",[1]Sheet1!F158)-1)</f>
        <v>湖南</v>
      </c>
      <c r="E158" s="2" t="str">
        <f>MID([1]Sheet1!F158,FIND("-",[1]Sheet1!F158)+1,FIND(")",[1]Sheet1!F158)-FIND("-",[1]Sheet1!F158)-1)</f>
        <v>益阳</v>
      </c>
      <c r="F158" s="2" t="s">
        <v>42</v>
      </c>
      <c r="G158" s="2" t="s">
        <v>50</v>
      </c>
      <c r="H158" s="2" t="s">
        <v>66</v>
      </c>
      <c r="I158" s="2" t="s">
        <v>51</v>
      </c>
      <c r="J158" s="2" t="s">
        <v>56</v>
      </c>
      <c r="K158" s="2" t="s">
        <v>117</v>
      </c>
      <c r="L158" s="2" t="s">
        <v>24</v>
      </c>
      <c r="M158" s="2" t="s">
        <v>67</v>
      </c>
      <c r="N158" s="2" t="s">
        <v>37</v>
      </c>
      <c r="O158" s="2" t="s">
        <v>89</v>
      </c>
      <c r="P158" s="2" t="s">
        <v>39</v>
      </c>
      <c r="Q158" s="2" t="s">
        <v>346</v>
      </c>
    </row>
    <row r="159" spans="1:17">
      <c r="A159" s="2" t="s">
        <v>347</v>
      </c>
      <c r="B159" s="2" t="str">
        <f>[1]Sheet1!M159</f>
        <v>男</v>
      </c>
      <c r="C159" s="3" t="str" cm="1">
        <f t="array" ref="C1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59" s="2" t="str">
        <f>MID([1]Sheet1!F159,FIND("(",[1]Sheet1!F159)+1,FIND("-",[1]Sheet1!F159)-FIND("(",[1]Sheet1!F159)-1)</f>
        <v>四川</v>
      </c>
      <c r="E159" s="2" t="str">
        <f>MID([1]Sheet1!F159,FIND("-",[1]Sheet1!F159)+1,FIND(")",[1]Sheet1!F159)-FIND("-",[1]Sheet1!F159)-1)</f>
        <v>成都</v>
      </c>
      <c r="F159" s="2" t="s">
        <v>42</v>
      </c>
      <c r="G159" s="2" t="s">
        <v>32</v>
      </c>
      <c r="H159" s="2" t="s">
        <v>66</v>
      </c>
      <c r="I159" s="2" t="s">
        <v>51</v>
      </c>
      <c r="J159" s="2" t="s">
        <v>56</v>
      </c>
      <c r="K159" s="2" t="s">
        <v>121</v>
      </c>
      <c r="L159" s="2" t="s">
        <v>24</v>
      </c>
      <c r="M159" s="2" t="s">
        <v>67</v>
      </c>
      <c r="N159" s="2" t="s">
        <v>26</v>
      </c>
      <c r="O159" s="2" t="s">
        <v>58</v>
      </c>
      <c r="P159" s="2" t="s">
        <v>59</v>
      </c>
      <c r="Q159" s="2" t="s">
        <v>348</v>
      </c>
    </row>
    <row r="160" spans="1:17">
      <c r="A160" s="2" t="s">
        <v>349</v>
      </c>
      <c r="B160" s="2" t="str">
        <f>[1]Sheet1!M160</f>
        <v>男</v>
      </c>
      <c r="C160" s="3" t="str" cm="1">
        <f t="array" ref="C1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60" s="2" t="str">
        <f>MID([1]Sheet1!F160,FIND("(",[1]Sheet1!F160)+1,FIND("-",[1]Sheet1!F160)-FIND("(",[1]Sheet1!F160)-1)</f>
        <v>重庆</v>
      </c>
      <c r="E160" s="2" t="str">
        <f>MID([1]Sheet1!F160,FIND("-",[1]Sheet1!F160)+1,FIND(")",[1]Sheet1!F160)-FIND("-",[1]Sheet1!F160)-1)</f>
        <v>重庆</v>
      </c>
      <c r="F160" s="2" t="s">
        <v>159</v>
      </c>
      <c r="G160" s="2" t="s">
        <v>50</v>
      </c>
      <c r="H160" s="2" t="s">
        <v>55</v>
      </c>
      <c r="I160" s="2" t="s">
        <v>73</v>
      </c>
      <c r="J160" s="2" t="s">
        <v>82</v>
      </c>
      <c r="K160" s="2" t="s">
        <v>130</v>
      </c>
      <c r="L160" s="2" t="s">
        <v>24</v>
      </c>
      <c r="M160" s="2" t="s">
        <v>36</v>
      </c>
      <c r="N160" s="2" t="s">
        <v>46</v>
      </c>
      <c r="O160" s="2" t="s">
        <v>27</v>
      </c>
      <c r="P160" s="2" t="s">
        <v>63</v>
      </c>
      <c r="Q160" s="2" t="s">
        <v>183</v>
      </c>
    </row>
    <row r="161" spans="1:17">
      <c r="A161" s="2" t="s">
        <v>350</v>
      </c>
      <c r="B161" s="2" t="str">
        <f>[1]Sheet1!M161</f>
        <v>男</v>
      </c>
      <c r="C161" s="3" t="str" cm="1">
        <f t="array" ref="C1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61" s="2" t="str">
        <f>MID([1]Sheet1!F161,FIND("(",[1]Sheet1!F161)+1,FIND("-",[1]Sheet1!F161)-FIND("(",[1]Sheet1!F161)-1)</f>
        <v>山东</v>
      </c>
      <c r="E161" s="2" t="str">
        <f>MID([1]Sheet1!F161,FIND("-",[1]Sheet1!F161)+1,FIND(")",[1]Sheet1!F161)-FIND("-",[1]Sheet1!F161)-1)</f>
        <v>济南</v>
      </c>
      <c r="F161" s="2" t="s">
        <v>31</v>
      </c>
      <c r="G161" s="2" t="s">
        <v>50</v>
      </c>
      <c r="H161" s="2" t="s">
        <v>20</v>
      </c>
      <c r="I161" s="2" t="s">
        <v>43</v>
      </c>
      <c r="J161" s="2" t="s">
        <v>82</v>
      </c>
      <c r="K161" s="2" t="s">
        <v>117</v>
      </c>
      <c r="L161" s="2" t="s">
        <v>24</v>
      </c>
      <c r="M161" s="2" t="s">
        <v>126</v>
      </c>
      <c r="N161" s="2" t="s">
        <v>46</v>
      </c>
      <c r="O161" s="2" t="s">
        <v>47</v>
      </c>
      <c r="P161" s="2" t="s">
        <v>63</v>
      </c>
      <c r="Q161" s="2" t="s">
        <v>351</v>
      </c>
    </row>
    <row r="162" spans="1:17">
      <c r="A162" s="2" t="s">
        <v>352</v>
      </c>
      <c r="B162" s="2" t="str">
        <f>[1]Sheet1!M162</f>
        <v>男</v>
      </c>
      <c r="C162" s="3" t="str" cm="1">
        <f t="array" ref="C1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62" s="2" t="str">
        <f>MID([1]Sheet1!F162,FIND("(",[1]Sheet1!F162)+1,FIND("-",[1]Sheet1!F162)-FIND("(",[1]Sheet1!F162)-1)</f>
        <v>贵州</v>
      </c>
      <c r="E162" s="2" t="str">
        <f>MID([1]Sheet1!F162,FIND("-",[1]Sheet1!F162)+1,FIND(")",[1]Sheet1!F162)-FIND("-",[1]Sheet1!F162)-1)</f>
        <v>贵阳</v>
      </c>
      <c r="F162" s="2" t="s">
        <v>18</v>
      </c>
      <c r="G162" s="2" t="s">
        <v>50</v>
      </c>
      <c r="H162" s="2" t="s">
        <v>20</v>
      </c>
      <c r="I162" s="2" t="s">
        <v>51</v>
      </c>
      <c r="J162" s="2" t="s">
        <v>77</v>
      </c>
      <c r="K162" s="2" t="s">
        <v>117</v>
      </c>
      <c r="L162" s="2" t="s">
        <v>83</v>
      </c>
      <c r="M162" s="2" t="s">
        <v>100</v>
      </c>
      <c r="N162" s="2" t="s">
        <v>37</v>
      </c>
      <c r="O162" s="2" t="s">
        <v>62</v>
      </c>
      <c r="P162" s="2" t="s">
        <v>86</v>
      </c>
      <c r="Q162" s="2" t="s">
        <v>353</v>
      </c>
    </row>
    <row r="163" spans="1:17">
      <c r="A163" s="2" t="s">
        <v>354</v>
      </c>
      <c r="B163" s="2" t="str">
        <f>[1]Sheet1!M163</f>
        <v>男</v>
      </c>
      <c r="C163" s="3" t="str" cm="1">
        <f t="array" ref="C1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63" s="2" t="str">
        <f>MID([1]Sheet1!F163,FIND("(",[1]Sheet1!F163)+1,FIND("-",[1]Sheet1!F163)-FIND("(",[1]Sheet1!F163)-1)</f>
        <v>广西</v>
      </c>
      <c r="E163" s="2" t="str">
        <f>MID([1]Sheet1!F163,FIND("-",[1]Sheet1!F163)+1,FIND(")",[1]Sheet1!F163)-FIND("-",[1]Sheet1!F163)-1)</f>
        <v>南宁</v>
      </c>
      <c r="F163" s="2" t="s">
        <v>31</v>
      </c>
      <c r="G163" s="2" t="s">
        <v>50</v>
      </c>
      <c r="H163" s="2" t="s">
        <v>66</v>
      </c>
      <c r="I163" s="2" t="s">
        <v>51</v>
      </c>
      <c r="J163" s="2" t="s">
        <v>44</v>
      </c>
      <c r="K163" s="2" t="s">
        <v>121</v>
      </c>
      <c r="L163" s="2" t="s">
        <v>83</v>
      </c>
      <c r="M163" s="2" t="s">
        <v>78</v>
      </c>
      <c r="N163" s="2" t="s">
        <v>46</v>
      </c>
      <c r="O163" s="2" t="s">
        <v>199</v>
      </c>
      <c r="P163" s="2" t="s">
        <v>28</v>
      </c>
      <c r="Q163" s="2" t="s">
        <v>48</v>
      </c>
    </row>
    <row r="164" spans="1:17">
      <c r="A164" s="2" t="s">
        <v>355</v>
      </c>
      <c r="B164" s="2" t="str">
        <f>[1]Sheet1!M164</f>
        <v>男</v>
      </c>
      <c r="C164" s="3" t="str" cm="1">
        <f t="array" ref="C1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64" s="2" t="str">
        <f>MID([1]Sheet1!F164,FIND("(",[1]Sheet1!F164)+1,FIND("-",[1]Sheet1!F164)-FIND("(",[1]Sheet1!F164)-1)</f>
        <v>湖北</v>
      </c>
      <c r="E164" s="2" t="str">
        <f>MID([1]Sheet1!F164,FIND("-",[1]Sheet1!F164)+1,FIND(")",[1]Sheet1!F164)-FIND("-",[1]Sheet1!F164)-1)</f>
        <v>襄阳</v>
      </c>
      <c r="F164" s="2" t="s">
        <v>42</v>
      </c>
      <c r="G164" s="2" t="s">
        <v>50</v>
      </c>
      <c r="H164" s="2" t="s">
        <v>20</v>
      </c>
      <c r="I164" s="2" t="s">
        <v>43</v>
      </c>
      <c r="J164" s="2" t="s">
        <v>56</v>
      </c>
      <c r="K164" s="2" t="s">
        <v>121</v>
      </c>
      <c r="L164" s="2" t="s">
        <v>24</v>
      </c>
      <c r="M164" s="2" t="s">
        <v>84</v>
      </c>
      <c r="N164" s="2" t="s">
        <v>37</v>
      </c>
      <c r="O164" s="2" t="s">
        <v>305</v>
      </c>
      <c r="P164" s="2" t="s">
        <v>175</v>
      </c>
      <c r="Q164" s="2" t="s">
        <v>356</v>
      </c>
    </row>
    <row r="165" spans="1:17">
      <c r="A165" s="2" t="s">
        <v>357</v>
      </c>
      <c r="B165" s="2" t="str">
        <f>[1]Sheet1!M165</f>
        <v>男</v>
      </c>
      <c r="C165" s="3" t="str" cm="1">
        <f t="array" ref="C1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65" s="2" t="str">
        <f>MID([1]Sheet1!F165,FIND("(",[1]Sheet1!F165)+1,FIND("-",[1]Sheet1!F165)-FIND("(",[1]Sheet1!F165)-1)</f>
        <v>重庆</v>
      </c>
      <c r="E165" s="2" t="str">
        <f>MID([1]Sheet1!F165,FIND("-",[1]Sheet1!F165)+1,FIND(")",[1]Sheet1!F165)-FIND("-",[1]Sheet1!F165)-1)</f>
        <v>重庆</v>
      </c>
      <c r="F165" s="2" t="s">
        <v>42</v>
      </c>
      <c r="G165" s="2" t="s">
        <v>81</v>
      </c>
      <c r="H165" s="2" t="s">
        <v>55</v>
      </c>
      <c r="I165" s="2" t="s">
        <v>43</v>
      </c>
      <c r="J165" s="2" t="s">
        <v>96</v>
      </c>
      <c r="K165" s="2" t="s">
        <v>121</v>
      </c>
      <c r="L165" s="2" t="s">
        <v>24</v>
      </c>
      <c r="M165" s="2" t="s">
        <v>57</v>
      </c>
      <c r="N165" s="2" t="s">
        <v>26</v>
      </c>
      <c r="O165" s="2" t="s">
        <v>47</v>
      </c>
      <c r="P165" s="2" t="s">
        <v>175</v>
      </c>
      <c r="Q165" s="2" t="s">
        <v>172</v>
      </c>
    </row>
    <row r="166" spans="1:17">
      <c r="A166" s="2" t="s">
        <v>358</v>
      </c>
      <c r="B166" s="2" t="str">
        <f>[1]Sheet1!M166</f>
        <v>男</v>
      </c>
      <c r="C166" s="3" t="str" cm="1">
        <f t="array" ref="C1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66" s="2" t="str">
        <f>MID([1]Sheet1!F166,FIND("(",[1]Sheet1!F166)+1,FIND("-",[1]Sheet1!F166)-FIND("(",[1]Sheet1!F166)-1)</f>
        <v>海南</v>
      </c>
      <c r="E166" s="2" t="str">
        <f>MID([1]Sheet1!F166,FIND("-",[1]Sheet1!F166)+1,FIND(")",[1]Sheet1!F166)-FIND("-",[1]Sheet1!F166)-1)</f>
        <v>海口</v>
      </c>
      <c r="F166" s="2" t="s">
        <v>42</v>
      </c>
      <c r="G166" s="2" t="s">
        <v>50</v>
      </c>
      <c r="H166" s="2" t="s">
        <v>20</v>
      </c>
      <c r="I166" s="2" t="s">
        <v>43</v>
      </c>
      <c r="J166" s="2" t="s">
        <v>96</v>
      </c>
      <c r="K166" s="2" t="s">
        <v>117</v>
      </c>
      <c r="L166" s="2" t="s">
        <v>24</v>
      </c>
      <c r="M166" s="2" t="s">
        <v>57</v>
      </c>
      <c r="N166" s="2" t="s">
        <v>37</v>
      </c>
      <c r="O166" s="2" t="s">
        <v>295</v>
      </c>
      <c r="P166" s="2" t="s">
        <v>39</v>
      </c>
      <c r="Q166" s="2" t="s">
        <v>48</v>
      </c>
    </row>
    <row r="167" spans="1:17">
      <c r="A167" s="2" t="s">
        <v>359</v>
      </c>
      <c r="B167" s="2" t="str">
        <f>[1]Sheet1!M167</f>
        <v>男</v>
      </c>
      <c r="C167" s="3" t="str" cm="1">
        <f t="array" ref="C1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67" s="2" t="str">
        <f>MID([1]Sheet1!F167,FIND("(",[1]Sheet1!F167)+1,FIND("-",[1]Sheet1!F167)-FIND("(",[1]Sheet1!F167)-1)</f>
        <v>河南</v>
      </c>
      <c r="E167" s="2" t="str">
        <f>MID([1]Sheet1!F167,FIND("-",[1]Sheet1!F167)+1,FIND(")",[1]Sheet1!F167)-FIND("-",[1]Sheet1!F167)-1)</f>
        <v>新乡</v>
      </c>
      <c r="F167" s="2" t="s">
        <v>31</v>
      </c>
      <c r="G167" s="2" t="s">
        <v>19</v>
      </c>
      <c r="H167" s="2" t="s">
        <v>66</v>
      </c>
      <c r="I167" s="2" t="s">
        <v>43</v>
      </c>
      <c r="J167" s="2" t="s">
        <v>35</v>
      </c>
      <c r="K167" s="2" t="s">
        <v>217</v>
      </c>
      <c r="L167" s="2" t="s">
        <v>24</v>
      </c>
      <c r="M167" s="2" t="s">
        <v>360</v>
      </c>
      <c r="N167" s="2" t="s">
        <v>85</v>
      </c>
      <c r="O167" s="2" t="s">
        <v>27</v>
      </c>
      <c r="P167" s="2" t="s">
        <v>63</v>
      </c>
      <c r="Q167" s="2" t="s">
        <v>48</v>
      </c>
    </row>
    <row r="168" spans="1:17">
      <c r="A168" s="2" t="s">
        <v>361</v>
      </c>
      <c r="B168" s="2" t="str">
        <f>[1]Sheet1!M168</f>
        <v>男</v>
      </c>
      <c r="C168" s="3" t="str" cm="1">
        <f t="array" ref="C1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68" s="2" t="str">
        <f>MID([1]Sheet1!F168,FIND("(",[1]Sheet1!F168)+1,FIND("-",[1]Sheet1!F168)-FIND("(",[1]Sheet1!F168)-1)</f>
        <v>河北</v>
      </c>
      <c r="E168" s="2" t="str">
        <f>MID([1]Sheet1!F168,FIND("-",[1]Sheet1!F168)+1,FIND(")",[1]Sheet1!F168)-FIND("-",[1]Sheet1!F168)-1)</f>
        <v>沧州</v>
      </c>
      <c r="F168" s="2" t="s">
        <v>70</v>
      </c>
      <c r="G168" s="2" t="s">
        <v>32</v>
      </c>
      <c r="H168" s="2" t="s">
        <v>66</v>
      </c>
      <c r="I168" s="2" t="s">
        <v>21</v>
      </c>
      <c r="J168" s="2" t="s">
        <v>56</v>
      </c>
      <c r="K168" s="2" t="s">
        <v>169</v>
      </c>
      <c r="L168" s="2" t="s">
        <v>24</v>
      </c>
      <c r="M168" s="2" t="s">
        <v>67</v>
      </c>
      <c r="N168" s="2" t="s">
        <v>37</v>
      </c>
      <c r="O168" s="2" t="s">
        <v>47</v>
      </c>
      <c r="P168" s="2" t="s">
        <v>59</v>
      </c>
      <c r="Q168" s="2" t="s">
        <v>269</v>
      </c>
    </row>
    <row r="169" spans="1:17">
      <c r="A169" s="2" t="s">
        <v>362</v>
      </c>
      <c r="B169" s="2" t="str">
        <f>[1]Sheet1!M169</f>
        <v>男</v>
      </c>
      <c r="C169" s="3" t="str" cm="1">
        <f t="array" ref="C1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69" s="2" t="str">
        <f>MID([1]Sheet1!F169,FIND("(",[1]Sheet1!F169)+1,FIND("-",[1]Sheet1!F169)-FIND("(",[1]Sheet1!F169)-1)</f>
        <v>广西</v>
      </c>
      <c r="E169" s="2" t="str">
        <f>MID([1]Sheet1!F169,FIND("-",[1]Sheet1!F169)+1,FIND(")",[1]Sheet1!F169)-FIND("-",[1]Sheet1!F169)-1)</f>
        <v>钦州</v>
      </c>
      <c r="F169" s="2" t="s">
        <v>159</v>
      </c>
      <c r="G169" s="2" t="s">
        <v>19</v>
      </c>
      <c r="H169" s="2" t="s">
        <v>66</v>
      </c>
      <c r="I169" s="2" t="s">
        <v>73</v>
      </c>
      <c r="J169" s="2" t="s">
        <v>96</v>
      </c>
      <c r="K169" s="2" t="s">
        <v>110</v>
      </c>
      <c r="L169" s="2" t="s">
        <v>24</v>
      </c>
      <c r="M169" s="2" t="s">
        <v>25</v>
      </c>
      <c r="N169" s="2" t="s">
        <v>46</v>
      </c>
      <c r="O169" s="2" t="s">
        <v>301</v>
      </c>
      <c r="P169" s="2" t="s">
        <v>59</v>
      </c>
      <c r="Q169" s="2" t="s">
        <v>363</v>
      </c>
    </row>
    <row r="170" spans="1:17">
      <c r="A170" s="2" t="s">
        <v>364</v>
      </c>
      <c r="B170" s="2" t="str">
        <f>[1]Sheet1!M170</f>
        <v>女</v>
      </c>
      <c r="C170" s="3" t="str" cm="1">
        <f t="array" ref="C1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70" s="2" t="str">
        <f>MID([1]Sheet1!F170,FIND("(",[1]Sheet1!F170)+1,FIND("-",[1]Sheet1!F170)-FIND("(",[1]Sheet1!F170)-1)</f>
        <v>四川</v>
      </c>
      <c r="E170" s="2" t="str">
        <f>MID([1]Sheet1!F170,FIND("-",[1]Sheet1!F170)+1,FIND(")",[1]Sheet1!F170)-FIND("-",[1]Sheet1!F170)-1)</f>
        <v>成都</v>
      </c>
      <c r="F170" s="2" t="s">
        <v>42</v>
      </c>
      <c r="G170" s="2" t="s">
        <v>32</v>
      </c>
      <c r="H170" s="2" t="s">
        <v>55</v>
      </c>
      <c r="I170" s="2" t="s">
        <v>73</v>
      </c>
      <c r="J170" s="2" t="s">
        <v>22</v>
      </c>
      <c r="K170" s="2" t="s">
        <v>115</v>
      </c>
      <c r="L170" s="2" t="s">
        <v>83</v>
      </c>
      <c r="M170" s="2" t="s">
        <v>36</v>
      </c>
      <c r="N170" s="2" t="s">
        <v>26</v>
      </c>
      <c r="O170" s="2" t="s">
        <v>97</v>
      </c>
      <c r="P170" s="2" t="s">
        <v>39</v>
      </c>
      <c r="Q170" s="2" t="s">
        <v>133</v>
      </c>
    </row>
    <row r="171" spans="1:17">
      <c r="A171" s="2" t="s">
        <v>365</v>
      </c>
      <c r="B171" s="2" t="str">
        <f>[1]Sheet1!M171</f>
        <v>男</v>
      </c>
      <c r="C171" s="3" t="str" cm="1">
        <f t="array" ref="C1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71" s="2" t="str">
        <f>MID([1]Sheet1!F171,FIND("(",[1]Sheet1!F171)+1,FIND("-",[1]Sheet1!F171)-FIND("(",[1]Sheet1!F171)-1)</f>
        <v>山东</v>
      </c>
      <c r="E171" s="2" t="str">
        <f>MID([1]Sheet1!F171,FIND("-",[1]Sheet1!F171)+1,FIND(")",[1]Sheet1!F171)-FIND("-",[1]Sheet1!F171)-1)</f>
        <v>济宁</v>
      </c>
      <c r="F171" s="2" t="s">
        <v>42</v>
      </c>
      <c r="G171" s="2" t="s">
        <v>81</v>
      </c>
      <c r="H171" s="2" t="s">
        <v>20</v>
      </c>
      <c r="I171" s="2" t="s">
        <v>21</v>
      </c>
      <c r="J171" s="2" t="s">
        <v>82</v>
      </c>
      <c r="K171" s="2" t="s">
        <v>223</v>
      </c>
      <c r="L171" s="2" t="s">
        <v>24</v>
      </c>
      <c r="M171" s="2" t="s">
        <v>71</v>
      </c>
      <c r="N171" s="2" t="s">
        <v>26</v>
      </c>
      <c r="O171" s="2" t="s">
        <v>366</v>
      </c>
      <c r="P171" s="2" t="s">
        <v>39</v>
      </c>
      <c r="Q171" s="2" t="s">
        <v>367</v>
      </c>
    </row>
    <row r="172" spans="1:17">
      <c r="A172" s="2" t="s">
        <v>368</v>
      </c>
      <c r="B172" s="2" t="str">
        <f>[1]Sheet1!M172</f>
        <v>男</v>
      </c>
      <c r="C172" s="3" t="str" cm="1">
        <f t="array" ref="C1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72" s="2" t="str">
        <f>MID([1]Sheet1!F172,FIND("(",[1]Sheet1!F172)+1,FIND("-",[1]Sheet1!F172)-FIND("(",[1]Sheet1!F172)-1)</f>
        <v>陕西</v>
      </c>
      <c r="E172" s="2" t="str">
        <f>MID([1]Sheet1!F172,FIND("-",[1]Sheet1!F172)+1,FIND(")",[1]Sheet1!F172)-FIND("-",[1]Sheet1!F172)-1)</f>
        <v>咸阳</v>
      </c>
      <c r="F172" s="2" t="s">
        <v>42</v>
      </c>
      <c r="G172" s="2" t="s">
        <v>50</v>
      </c>
      <c r="H172" s="2" t="s">
        <v>66</v>
      </c>
      <c r="I172" s="2" t="s">
        <v>43</v>
      </c>
      <c r="J172" s="2" t="s">
        <v>22</v>
      </c>
      <c r="K172" s="2" t="s">
        <v>240</v>
      </c>
      <c r="L172" s="2" t="s">
        <v>83</v>
      </c>
      <c r="M172" s="2" t="s">
        <v>36</v>
      </c>
      <c r="N172" s="2" t="s">
        <v>26</v>
      </c>
      <c r="O172" s="2" t="s">
        <v>47</v>
      </c>
      <c r="P172" s="2" t="s">
        <v>63</v>
      </c>
      <c r="Q172" s="2" t="s">
        <v>68</v>
      </c>
    </row>
    <row r="173" spans="1:17">
      <c r="A173" s="2" t="s">
        <v>369</v>
      </c>
      <c r="B173" s="2" t="str">
        <f>[1]Sheet1!M173</f>
        <v>男</v>
      </c>
      <c r="C173" s="3" t="str" cm="1">
        <f t="array" ref="C1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73" s="2" t="str">
        <f>MID([1]Sheet1!F173,FIND("(",[1]Sheet1!F173)+1,FIND("-",[1]Sheet1!F173)-FIND("(",[1]Sheet1!F173)-1)</f>
        <v>江苏</v>
      </c>
      <c r="E173" s="2" t="str">
        <f>MID([1]Sheet1!F173,FIND("-",[1]Sheet1!F173)+1,FIND(")",[1]Sheet1!F173)-FIND("-",[1]Sheet1!F173)-1)</f>
        <v>无锡</v>
      </c>
      <c r="F173" s="2" t="s">
        <v>31</v>
      </c>
      <c r="G173" s="2" t="s">
        <v>50</v>
      </c>
      <c r="H173" s="2" t="s">
        <v>66</v>
      </c>
      <c r="I173" s="2" t="s">
        <v>211</v>
      </c>
      <c r="J173" s="2" t="s">
        <v>77</v>
      </c>
      <c r="K173" s="2" t="s">
        <v>121</v>
      </c>
      <c r="L173" s="2" t="s">
        <v>24</v>
      </c>
      <c r="M173" s="2" t="s">
        <v>111</v>
      </c>
      <c r="N173" s="2" t="s">
        <v>37</v>
      </c>
      <c r="O173" s="2" t="s">
        <v>27</v>
      </c>
      <c r="P173" s="2" t="s">
        <v>86</v>
      </c>
      <c r="Q173" s="2" t="s">
        <v>370</v>
      </c>
    </row>
    <row r="174" spans="1:17">
      <c r="A174" s="2" t="s">
        <v>371</v>
      </c>
      <c r="B174" s="2" t="str">
        <f>[1]Sheet1!M174</f>
        <v>男</v>
      </c>
      <c r="C174" s="3" t="str" cm="1">
        <f t="array" ref="C1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74" s="2" t="str">
        <f>MID([1]Sheet1!F174,FIND("(",[1]Sheet1!F174)+1,FIND("-",[1]Sheet1!F174)-FIND("(",[1]Sheet1!F174)-1)</f>
        <v>天津</v>
      </c>
      <c r="E174" s="2" t="str">
        <f>MID([1]Sheet1!F174,FIND("-",[1]Sheet1!F174)+1,FIND(")",[1]Sheet1!F174)-FIND("-",[1]Sheet1!F174)-1)</f>
        <v>天津</v>
      </c>
      <c r="F174" s="2" t="s">
        <v>42</v>
      </c>
      <c r="G174" s="2" t="s">
        <v>32</v>
      </c>
      <c r="H174" s="2" t="s">
        <v>66</v>
      </c>
      <c r="I174" s="2" t="s">
        <v>51</v>
      </c>
      <c r="J174" s="2" t="s">
        <v>56</v>
      </c>
      <c r="K174" s="2" t="s">
        <v>372</v>
      </c>
      <c r="L174" s="2" t="s">
        <v>24</v>
      </c>
      <c r="M174" s="2" t="s">
        <v>36</v>
      </c>
      <c r="N174" s="2" t="s">
        <v>85</v>
      </c>
      <c r="O174" s="2" t="s">
        <v>373</v>
      </c>
      <c r="P174" s="2" t="s">
        <v>28</v>
      </c>
      <c r="Q174" s="2" t="s">
        <v>48</v>
      </c>
    </row>
    <row r="175" spans="1:17">
      <c r="A175" s="2" t="s">
        <v>365</v>
      </c>
      <c r="B175" s="2" t="str">
        <f>[1]Sheet1!M175</f>
        <v>男</v>
      </c>
      <c r="C175" s="3" t="str" cm="1">
        <f t="array" ref="C1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75" s="2" t="str">
        <f>MID([1]Sheet1!F175,FIND("(",[1]Sheet1!F175)+1,FIND("-",[1]Sheet1!F175)-FIND("(",[1]Sheet1!F175)-1)</f>
        <v>山东</v>
      </c>
      <c r="E175" s="2" t="str">
        <f>MID([1]Sheet1!F175,FIND("-",[1]Sheet1!F175)+1,FIND(")",[1]Sheet1!F175)-FIND("-",[1]Sheet1!F175)-1)</f>
        <v>济宁</v>
      </c>
      <c r="F175" s="2" t="s">
        <v>42</v>
      </c>
      <c r="G175" s="2" t="s">
        <v>81</v>
      </c>
      <c r="H175" s="2" t="s">
        <v>20</v>
      </c>
      <c r="I175" s="2" t="s">
        <v>21</v>
      </c>
      <c r="J175" s="2" t="s">
        <v>82</v>
      </c>
      <c r="K175" s="2" t="s">
        <v>115</v>
      </c>
      <c r="L175" s="2" t="s">
        <v>24</v>
      </c>
      <c r="M175" s="2" t="s">
        <v>67</v>
      </c>
      <c r="N175" s="2" t="s">
        <v>26</v>
      </c>
      <c r="O175" s="2" t="s">
        <v>366</v>
      </c>
      <c r="P175" s="2" t="s">
        <v>39</v>
      </c>
      <c r="Q175" s="2" t="s">
        <v>374</v>
      </c>
    </row>
    <row r="176" spans="1:17">
      <c r="A176" s="2" t="s">
        <v>375</v>
      </c>
      <c r="B176" s="2" t="str">
        <f>[1]Sheet1!M176</f>
        <v>男</v>
      </c>
      <c r="C176" s="3" t="str" cm="1">
        <f t="array" ref="C1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76" s="2" t="str">
        <f>MID([1]Sheet1!F176,FIND("(",[1]Sheet1!F176)+1,FIND("-",[1]Sheet1!F176)-FIND("(",[1]Sheet1!F176)-1)</f>
        <v>贵州</v>
      </c>
      <c r="E176" s="2" t="str">
        <f>MID([1]Sheet1!F176,FIND("-",[1]Sheet1!F176)+1,FIND(")",[1]Sheet1!F176)-FIND("-",[1]Sheet1!F176)-1)</f>
        <v>遵义</v>
      </c>
      <c r="F176" s="2" t="s">
        <v>42</v>
      </c>
      <c r="G176" s="2" t="s">
        <v>81</v>
      </c>
      <c r="H176" s="2" t="s">
        <v>66</v>
      </c>
      <c r="I176" s="2" t="s">
        <v>43</v>
      </c>
      <c r="J176" s="2" t="s">
        <v>96</v>
      </c>
      <c r="K176" s="2" t="s">
        <v>117</v>
      </c>
      <c r="L176" s="2" t="s">
        <v>24</v>
      </c>
      <c r="M176" s="2" t="s">
        <v>25</v>
      </c>
      <c r="N176" s="2" t="s">
        <v>37</v>
      </c>
      <c r="O176" s="2" t="s">
        <v>27</v>
      </c>
      <c r="P176" s="2" t="s">
        <v>39</v>
      </c>
      <c r="Q176" s="2" t="s">
        <v>376</v>
      </c>
    </row>
    <row r="177" spans="1:17">
      <c r="A177" s="2" t="s">
        <v>377</v>
      </c>
      <c r="B177" s="2" t="str">
        <f>[1]Sheet1!M177</f>
        <v>男</v>
      </c>
      <c r="C177" s="3" t="str" cm="1">
        <f t="array" ref="C1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77" s="2" t="str">
        <f>MID([1]Sheet1!F177,FIND("(",[1]Sheet1!F177)+1,FIND("-",[1]Sheet1!F177)-FIND("(",[1]Sheet1!F177)-1)</f>
        <v>浙江</v>
      </c>
      <c r="E177" s="2" t="str">
        <f>MID([1]Sheet1!F177,FIND("-",[1]Sheet1!F177)+1,FIND(")",[1]Sheet1!F177)-FIND("-",[1]Sheet1!F177)-1)</f>
        <v>湖州</v>
      </c>
      <c r="F177" s="2" t="s">
        <v>159</v>
      </c>
      <c r="G177" s="2" t="s">
        <v>19</v>
      </c>
      <c r="H177" s="2" t="s">
        <v>33</v>
      </c>
      <c r="I177" s="2" t="s">
        <v>51</v>
      </c>
      <c r="J177" s="2" t="s">
        <v>82</v>
      </c>
      <c r="K177" s="2" t="s">
        <v>117</v>
      </c>
      <c r="L177" s="2" t="s">
        <v>83</v>
      </c>
      <c r="M177" s="2" t="s">
        <v>36</v>
      </c>
      <c r="N177" s="2" t="s">
        <v>46</v>
      </c>
      <c r="O177" s="2" t="s">
        <v>378</v>
      </c>
      <c r="P177" s="2" t="s">
        <v>39</v>
      </c>
      <c r="Q177" s="2" t="s">
        <v>68</v>
      </c>
    </row>
    <row r="178" spans="1:17">
      <c r="A178" s="2" t="s">
        <v>379</v>
      </c>
      <c r="B178" s="2" t="str">
        <f>[1]Sheet1!M178</f>
        <v>男</v>
      </c>
      <c r="C178" s="3" t="str" cm="1">
        <f t="array" ref="C1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78" s="2" t="str">
        <f>MID([1]Sheet1!F178,FIND("(",[1]Sheet1!F178)+1,FIND("-",[1]Sheet1!F178)-FIND("(",[1]Sheet1!F178)-1)</f>
        <v>广西</v>
      </c>
      <c r="E178" s="2" t="str">
        <f>MID([1]Sheet1!F178,FIND("-",[1]Sheet1!F178)+1,FIND(")",[1]Sheet1!F178)-FIND("-",[1]Sheet1!F178)-1)</f>
        <v>崇左</v>
      </c>
      <c r="F178" s="2" t="s">
        <v>31</v>
      </c>
      <c r="G178" s="2" t="s">
        <v>81</v>
      </c>
      <c r="H178" s="2" t="s">
        <v>66</v>
      </c>
      <c r="I178" s="2" t="s">
        <v>51</v>
      </c>
      <c r="J178" s="2" t="s">
        <v>56</v>
      </c>
      <c r="K178" s="2" t="s">
        <v>115</v>
      </c>
      <c r="L178" s="2" t="s">
        <v>24</v>
      </c>
      <c r="M178" s="2" t="s">
        <v>45</v>
      </c>
      <c r="N178" s="2" t="s">
        <v>37</v>
      </c>
      <c r="O178" s="2" t="s">
        <v>380</v>
      </c>
      <c r="P178" s="2" t="s">
        <v>28</v>
      </c>
      <c r="Q178" s="2" t="s">
        <v>172</v>
      </c>
    </row>
    <row r="179" spans="1:17">
      <c r="A179" s="2" t="s">
        <v>381</v>
      </c>
      <c r="B179" s="2" t="str">
        <f>[1]Sheet1!M179</f>
        <v>男</v>
      </c>
      <c r="C179" s="3" t="str" cm="1">
        <f t="array" ref="C1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79" s="2" t="str">
        <f>MID([1]Sheet1!F179,FIND("(",[1]Sheet1!F179)+1,FIND("-",[1]Sheet1!F179)-FIND("(",[1]Sheet1!F179)-1)</f>
        <v>广西</v>
      </c>
      <c r="E179" s="2" t="str">
        <f>MID([1]Sheet1!F179,FIND("-",[1]Sheet1!F179)+1,FIND(")",[1]Sheet1!F179)-FIND("-",[1]Sheet1!F179)-1)</f>
        <v>南宁</v>
      </c>
      <c r="F179" s="2" t="s">
        <v>31</v>
      </c>
      <c r="G179" s="2" t="s">
        <v>81</v>
      </c>
      <c r="H179" s="2" t="s">
        <v>20</v>
      </c>
      <c r="I179" s="2" t="s">
        <v>120</v>
      </c>
      <c r="J179" s="2" t="s">
        <v>82</v>
      </c>
      <c r="K179" s="2" t="s">
        <v>130</v>
      </c>
      <c r="L179" s="2" t="s">
        <v>24</v>
      </c>
      <c r="M179" s="2" t="s">
        <v>36</v>
      </c>
      <c r="N179" s="2" t="s">
        <v>37</v>
      </c>
      <c r="O179" s="2" t="s">
        <v>97</v>
      </c>
      <c r="P179" s="2" t="s">
        <v>175</v>
      </c>
      <c r="Q179" s="2" t="s">
        <v>172</v>
      </c>
    </row>
    <row r="180" spans="1:17">
      <c r="A180" s="2" t="s">
        <v>382</v>
      </c>
      <c r="B180" s="2" t="str">
        <f>[1]Sheet1!M180</f>
        <v>男</v>
      </c>
      <c r="C180" s="3" t="str" cm="1">
        <f t="array" ref="C1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0" s="2" t="str">
        <f>MID([1]Sheet1!F180,FIND("(",[1]Sheet1!F180)+1,FIND("-",[1]Sheet1!F180)-FIND("(",[1]Sheet1!F180)-1)</f>
        <v>广西</v>
      </c>
      <c r="E180" s="2" t="str">
        <f>MID([1]Sheet1!F180,FIND("-",[1]Sheet1!F180)+1,FIND(")",[1]Sheet1!F180)-FIND("-",[1]Sheet1!F180)-1)</f>
        <v>南宁</v>
      </c>
      <c r="F180" s="2" t="s">
        <v>31</v>
      </c>
      <c r="G180" s="2" t="s">
        <v>32</v>
      </c>
      <c r="H180" s="2" t="s">
        <v>20</v>
      </c>
      <c r="I180" s="2" t="s">
        <v>211</v>
      </c>
      <c r="J180" s="2" t="s">
        <v>35</v>
      </c>
      <c r="K180" s="2" t="s">
        <v>121</v>
      </c>
      <c r="L180" s="2" t="s">
        <v>24</v>
      </c>
      <c r="M180" s="2" t="s">
        <v>84</v>
      </c>
      <c r="N180" s="2" t="s">
        <v>37</v>
      </c>
      <c r="O180" s="2" t="s">
        <v>58</v>
      </c>
      <c r="P180" s="2" t="s">
        <v>39</v>
      </c>
      <c r="Q180" s="2" t="s">
        <v>172</v>
      </c>
    </row>
    <row r="181" spans="1:17">
      <c r="A181" s="2" t="s">
        <v>383</v>
      </c>
      <c r="B181" s="2" t="str">
        <f>[1]Sheet1!M181</f>
        <v>男</v>
      </c>
      <c r="C181" s="3" t="str" cm="1">
        <f t="array" ref="C1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81" s="2" t="str">
        <f>MID([1]Sheet1!F181,FIND("(",[1]Sheet1!F181)+1,FIND("-",[1]Sheet1!F181)-FIND("(",[1]Sheet1!F181)-1)</f>
        <v>北京</v>
      </c>
      <c r="E181" s="2" t="str">
        <f>MID([1]Sheet1!F181,FIND("-",[1]Sheet1!F181)+1,FIND(")",[1]Sheet1!F181)-FIND("-",[1]Sheet1!F181)-1)</f>
        <v>北京</v>
      </c>
      <c r="F181" s="2" t="s">
        <v>159</v>
      </c>
      <c r="G181" s="2" t="s">
        <v>32</v>
      </c>
      <c r="H181" s="2" t="s">
        <v>20</v>
      </c>
      <c r="I181" s="2" t="s">
        <v>51</v>
      </c>
      <c r="J181" s="2" t="s">
        <v>35</v>
      </c>
      <c r="K181" s="2" t="s">
        <v>117</v>
      </c>
      <c r="L181" s="2" t="s">
        <v>24</v>
      </c>
      <c r="M181" s="2" t="s">
        <v>126</v>
      </c>
      <c r="N181" s="2" t="s">
        <v>37</v>
      </c>
      <c r="O181" s="2" t="s">
        <v>89</v>
      </c>
      <c r="P181" s="2" t="s">
        <v>39</v>
      </c>
      <c r="Q181" s="2" t="s">
        <v>348</v>
      </c>
    </row>
    <row r="182" spans="1:17">
      <c r="A182" s="2" t="s">
        <v>384</v>
      </c>
      <c r="B182" s="2" t="str">
        <f>[1]Sheet1!M182</f>
        <v>男</v>
      </c>
      <c r="C182" s="3" t="str" cm="1">
        <f t="array" ref="C1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82" s="2" t="str">
        <f>MID([1]Sheet1!F182,FIND("(",[1]Sheet1!F182)+1,FIND("-",[1]Sheet1!F182)-FIND("(",[1]Sheet1!F182)-1)</f>
        <v>河南</v>
      </c>
      <c r="E182" s="2" t="str">
        <f>MID([1]Sheet1!F182,FIND("-",[1]Sheet1!F182)+1,FIND(")",[1]Sheet1!F182)-FIND("-",[1]Sheet1!F182)-1)</f>
        <v>郑州</v>
      </c>
      <c r="F182" s="2" t="s">
        <v>159</v>
      </c>
      <c r="G182" s="2" t="s">
        <v>19</v>
      </c>
      <c r="H182" s="2" t="s">
        <v>20</v>
      </c>
      <c r="I182" s="2" t="s">
        <v>120</v>
      </c>
      <c r="J182" s="2" t="s">
        <v>96</v>
      </c>
      <c r="K182" s="2" t="s">
        <v>385</v>
      </c>
      <c r="L182" s="2" t="s">
        <v>24</v>
      </c>
      <c r="M182" s="2" t="s">
        <v>36</v>
      </c>
      <c r="N182" s="2" t="s">
        <v>37</v>
      </c>
      <c r="O182" s="2" t="s">
        <v>97</v>
      </c>
      <c r="P182" s="2" t="s">
        <v>218</v>
      </c>
      <c r="Q182" s="2" t="s">
        <v>40</v>
      </c>
    </row>
    <row r="183" spans="1:17">
      <c r="A183" s="2" t="s">
        <v>386</v>
      </c>
      <c r="B183" s="2" t="str">
        <f>[1]Sheet1!M183</f>
        <v>男</v>
      </c>
      <c r="C183" s="3" t="str" cm="1">
        <f t="array" ref="C1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83" s="2" t="str">
        <f>MID([1]Sheet1!F183,FIND("(",[1]Sheet1!F183)+1,FIND("-",[1]Sheet1!F183)-FIND("(",[1]Sheet1!F183)-1)</f>
        <v>河南</v>
      </c>
      <c r="E183" s="2" t="str">
        <f>MID([1]Sheet1!F183,FIND("-",[1]Sheet1!F183)+1,FIND(")",[1]Sheet1!F183)-FIND("-",[1]Sheet1!F183)-1)</f>
        <v>开封</v>
      </c>
      <c r="F183" s="2" t="s">
        <v>159</v>
      </c>
      <c r="G183" s="2" t="s">
        <v>50</v>
      </c>
      <c r="H183" s="2" t="s">
        <v>66</v>
      </c>
      <c r="I183" s="2" t="s">
        <v>120</v>
      </c>
      <c r="J183" s="2" t="s">
        <v>56</v>
      </c>
      <c r="K183" s="2" t="s">
        <v>117</v>
      </c>
      <c r="L183" s="2" t="s">
        <v>83</v>
      </c>
      <c r="M183" s="2" t="s">
        <v>36</v>
      </c>
      <c r="N183" s="2" t="s">
        <v>37</v>
      </c>
      <c r="O183" s="2" t="s">
        <v>27</v>
      </c>
      <c r="P183" s="2" t="s">
        <v>28</v>
      </c>
      <c r="Q183" s="2" t="s">
        <v>172</v>
      </c>
    </row>
    <row r="184" spans="1:17">
      <c r="A184" s="2" t="s">
        <v>387</v>
      </c>
      <c r="B184" s="2" t="str">
        <f>[1]Sheet1!M184</f>
        <v>男</v>
      </c>
      <c r="C184" s="3" t="str" cm="1">
        <f t="array" ref="C1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4" s="2" t="str">
        <f>MID([1]Sheet1!F184,FIND("(",[1]Sheet1!F184)+1,FIND("-",[1]Sheet1!F184)-FIND("(",[1]Sheet1!F184)-1)</f>
        <v>广东</v>
      </c>
      <c r="E184" s="2" t="str">
        <f>MID([1]Sheet1!F184,FIND("-",[1]Sheet1!F184)+1,FIND(")",[1]Sheet1!F184)-FIND("-",[1]Sheet1!F184)-1)</f>
        <v>茂名</v>
      </c>
      <c r="F184" s="2" t="s">
        <v>159</v>
      </c>
      <c r="G184" s="2" t="s">
        <v>81</v>
      </c>
      <c r="H184" s="2" t="s">
        <v>33</v>
      </c>
      <c r="I184" s="2" t="s">
        <v>120</v>
      </c>
      <c r="J184" s="2" t="s">
        <v>96</v>
      </c>
      <c r="K184" s="2" t="s">
        <v>130</v>
      </c>
      <c r="L184" s="2" t="s">
        <v>24</v>
      </c>
      <c r="M184" s="2" t="s">
        <v>111</v>
      </c>
      <c r="N184" s="2" t="s">
        <v>37</v>
      </c>
      <c r="O184" s="2" t="s">
        <v>47</v>
      </c>
      <c r="P184" s="2" t="s">
        <v>63</v>
      </c>
      <c r="Q184" s="2" t="s">
        <v>68</v>
      </c>
    </row>
    <row r="185" spans="1:17">
      <c r="A185" s="2" t="s">
        <v>388</v>
      </c>
      <c r="B185" s="2" t="str">
        <f>[1]Sheet1!M185</f>
        <v>男</v>
      </c>
      <c r="C185" s="3" t="str" cm="1">
        <f t="array" ref="C1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5" s="2" t="str">
        <f>MID([1]Sheet1!F185,FIND("(",[1]Sheet1!F185)+1,FIND("-",[1]Sheet1!F185)-FIND("(",[1]Sheet1!F185)-1)</f>
        <v>广东</v>
      </c>
      <c r="E185" s="2" t="str">
        <f>MID([1]Sheet1!F185,FIND("-",[1]Sheet1!F185)+1,FIND(")",[1]Sheet1!F185)-FIND("-",[1]Sheet1!F185)-1)</f>
        <v>广州</v>
      </c>
      <c r="F185" s="2" t="s">
        <v>18</v>
      </c>
      <c r="G185" s="2" t="s">
        <v>162</v>
      </c>
      <c r="H185" s="2" t="s">
        <v>66</v>
      </c>
      <c r="I185" s="2" t="s">
        <v>51</v>
      </c>
      <c r="J185" s="2" t="s">
        <v>56</v>
      </c>
      <c r="K185" s="2" t="s">
        <v>121</v>
      </c>
      <c r="L185" s="2" t="s">
        <v>24</v>
      </c>
      <c r="M185" s="2" t="s">
        <v>92</v>
      </c>
      <c r="N185" s="2" t="s">
        <v>37</v>
      </c>
      <c r="O185" s="2" t="s">
        <v>58</v>
      </c>
      <c r="P185" s="2" t="s">
        <v>39</v>
      </c>
      <c r="Q185" s="2" t="s">
        <v>389</v>
      </c>
    </row>
    <row r="186" spans="1:17">
      <c r="A186" s="2" t="s">
        <v>390</v>
      </c>
      <c r="B186" s="2" t="str">
        <f>[1]Sheet1!M186</f>
        <v>男</v>
      </c>
      <c r="C186" s="3" t="str" cm="1">
        <f t="array" ref="C1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86" s="2" t="str">
        <f>MID([1]Sheet1!F186,FIND("(",[1]Sheet1!F186)+1,FIND("-",[1]Sheet1!F186)-FIND("(",[1]Sheet1!F186)-1)</f>
        <v>重庆</v>
      </c>
      <c r="E186" s="2" t="str">
        <f>MID([1]Sheet1!F186,FIND("-",[1]Sheet1!F186)+1,FIND(")",[1]Sheet1!F186)-FIND("-",[1]Sheet1!F186)-1)</f>
        <v>重庆</v>
      </c>
      <c r="F186" s="2" t="s">
        <v>159</v>
      </c>
      <c r="G186" s="2" t="s">
        <v>32</v>
      </c>
      <c r="H186" s="2" t="s">
        <v>66</v>
      </c>
      <c r="I186" s="2" t="s">
        <v>120</v>
      </c>
      <c r="J186" s="2" t="s">
        <v>82</v>
      </c>
      <c r="K186" s="2" t="s">
        <v>117</v>
      </c>
      <c r="L186" s="2" t="s">
        <v>24</v>
      </c>
      <c r="M186" s="2" t="s">
        <v>36</v>
      </c>
      <c r="N186" s="2" t="s">
        <v>37</v>
      </c>
      <c r="O186" s="2" t="s">
        <v>47</v>
      </c>
      <c r="P186" s="2" t="s">
        <v>86</v>
      </c>
      <c r="Q186" s="2" t="s">
        <v>275</v>
      </c>
    </row>
    <row r="187" spans="1:17">
      <c r="A187" s="2" t="s">
        <v>391</v>
      </c>
      <c r="B187" s="2" t="str">
        <f>[1]Sheet1!M187</f>
        <v>男</v>
      </c>
      <c r="C187" s="3" t="str" cm="1">
        <f t="array" ref="C1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7" s="2" t="str">
        <f>MID([1]Sheet1!F187,FIND("(",[1]Sheet1!F187)+1,FIND("-",[1]Sheet1!F187)-FIND("(",[1]Sheet1!F187)-1)</f>
        <v>广东</v>
      </c>
      <c r="E187" s="2" t="str">
        <f>MID([1]Sheet1!F187,FIND("-",[1]Sheet1!F187)+1,FIND(")",[1]Sheet1!F187)-FIND("-",[1]Sheet1!F187)-1)</f>
        <v>广州</v>
      </c>
      <c r="F187" s="2" t="s">
        <v>42</v>
      </c>
      <c r="G187" s="2" t="s">
        <v>50</v>
      </c>
      <c r="H187" s="2" t="s">
        <v>33</v>
      </c>
      <c r="I187" s="2" t="s">
        <v>43</v>
      </c>
      <c r="J187" s="2" t="s">
        <v>82</v>
      </c>
      <c r="K187" s="2" t="s">
        <v>117</v>
      </c>
      <c r="L187" s="2" t="s">
        <v>24</v>
      </c>
      <c r="M187" s="2" t="s">
        <v>25</v>
      </c>
      <c r="N187" s="2" t="s">
        <v>37</v>
      </c>
      <c r="O187" s="2" t="s">
        <v>47</v>
      </c>
      <c r="P187" s="2" t="s">
        <v>39</v>
      </c>
      <c r="Q187" s="2" t="s">
        <v>68</v>
      </c>
    </row>
    <row r="188" spans="1:17">
      <c r="A188" s="2" t="s">
        <v>392</v>
      </c>
      <c r="B188" s="2" t="str">
        <f>[1]Sheet1!M188</f>
        <v>男</v>
      </c>
      <c r="C188" s="3" t="str" cm="1">
        <f t="array" ref="C1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8" s="2" t="str">
        <f>MID([1]Sheet1!F188,FIND("(",[1]Sheet1!F188)+1,FIND("-",[1]Sheet1!F188)-FIND("(",[1]Sheet1!F188)-1)</f>
        <v>广西</v>
      </c>
      <c r="E188" s="2" t="str">
        <f>MID([1]Sheet1!F188,FIND("-",[1]Sheet1!F188)+1,FIND(")",[1]Sheet1!F188)-FIND("-",[1]Sheet1!F188)-1)</f>
        <v>河池</v>
      </c>
      <c r="F188" s="2" t="s">
        <v>18</v>
      </c>
      <c r="G188" s="2" t="s">
        <v>114</v>
      </c>
      <c r="H188" s="2" t="s">
        <v>66</v>
      </c>
      <c r="I188" s="2" t="s">
        <v>21</v>
      </c>
      <c r="J188" s="2" t="s">
        <v>56</v>
      </c>
      <c r="K188" s="2" t="s">
        <v>240</v>
      </c>
      <c r="L188" s="2" t="s">
        <v>24</v>
      </c>
      <c r="M188" s="2" t="s">
        <v>57</v>
      </c>
      <c r="N188" s="2" t="s">
        <v>37</v>
      </c>
      <c r="O188" s="2" t="s">
        <v>47</v>
      </c>
      <c r="P188" s="2" t="s">
        <v>63</v>
      </c>
      <c r="Q188" s="2" t="s">
        <v>261</v>
      </c>
    </row>
    <row r="189" spans="1:17">
      <c r="A189" s="2" t="s">
        <v>393</v>
      </c>
      <c r="B189" s="2" t="str">
        <f>[1]Sheet1!M189</f>
        <v>女</v>
      </c>
      <c r="C189" s="3" t="str" cm="1">
        <f t="array" ref="C1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89" s="2" t="str">
        <f>MID([1]Sheet1!F189,FIND("(",[1]Sheet1!F189)+1,FIND("-",[1]Sheet1!F189)-FIND("(",[1]Sheet1!F189)-1)</f>
        <v>广西</v>
      </c>
      <c r="E189" s="2" t="str">
        <f>MID([1]Sheet1!F189,FIND("-",[1]Sheet1!F189)+1,FIND(")",[1]Sheet1!F189)-FIND("-",[1]Sheet1!F189)-1)</f>
        <v>柳州</v>
      </c>
      <c r="F189" s="2" t="s">
        <v>18</v>
      </c>
      <c r="G189" s="2" t="s">
        <v>32</v>
      </c>
      <c r="H189" s="2" t="s">
        <v>66</v>
      </c>
      <c r="I189" s="2" t="s">
        <v>43</v>
      </c>
      <c r="J189" s="2" t="s">
        <v>56</v>
      </c>
      <c r="K189" s="2" t="s">
        <v>240</v>
      </c>
      <c r="L189" s="2" t="s">
        <v>83</v>
      </c>
      <c r="M189" s="2" t="s">
        <v>36</v>
      </c>
      <c r="N189" s="2" t="s">
        <v>37</v>
      </c>
      <c r="O189" s="2" t="s">
        <v>47</v>
      </c>
      <c r="P189" s="2" t="s">
        <v>179</v>
      </c>
      <c r="Q189" s="2" t="s">
        <v>310</v>
      </c>
    </row>
    <row r="190" spans="1:17">
      <c r="A190" s="2" t="s">
        <v>394</v>
      </c>
      <c r="B190" s="2" t="str">
        <f>[1]Sheet1!M190</f>
        <v>女</v>
      </c>
      <c r="C190" s="3" t="str" cm="1">
        <f t="array" ref="C1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90" s="2" t="str">
        <f>MID([1]Sheet1!F190,FIND("(",[1]Sheet1!F190)+1,FIND("-",[1]Sheet1!F190)-FIND("(",[1]Sheet1!F190)-1)</f>
        <v>四川</v>
      </c>
      <c r="E190" s="2" t="str">
        <f>MID([1]Sheet1!F190,FIND("-",[1]Sheet1!F190)+1,FIND(")",[1]Sheet1!F190)-FIND("-",[1]Sheet1!F190)-1)</f>
        <v>广安</v>
      </c>
      <c r="F190" s="2" t="s">
        <v>70</v>
      </c>
      <c r="G190" s="2" t="s">
        <v>114</v>
      </c>
      <c r="H190" s="2" t="s">
        <v>20</v>
      </c>
      <c r="I190" s="2" t="s">
        <v>43</v>
      </c>
      <c r="J190" s="2" t="s">
        <v>82</v>
      </c>
      <c r="K190" s="2" t="s">
        <v>115</v>
      </c>
      <c r="L190" s="2" t="s">
        <v>24</v>
      </c>
      <c r="M190" s="2" t="s">
        <v>78</v>
      </c>
      <c r="N190" s="2" t="s">
        <v>85</v>
      </c>
      <c r="O190" s="2" t="s">
        <v>58</v>
      </c>
      <c r="P190" s="2" t="s">
        <v>28</v>
      </c>
      <c r="Q190" s="2" t="s">
        <v>103</v>
      </c>
    </row>
    <row r="191" spans="1:17">
      <c r="A191" s="2" t="s">
        <v>395</v>
      </c>
      <c r="B191" s="2" t="str">
        <f>[1]Sheet1!M191</f>
        <v>男</v>
      </c>
      <c r="C191" s="3" t="str" cm="1">
        <f t="array" ref="C1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1" s="2" t="str">
        <f>MID([1]Sheet1!F191,FIND("(",[1]Sheet1!F191)+1,FIND("-",[1]Sheet1!F191)-FIND("(",[1]Sheet1!F191)-1)</f>
        <v>江苏</v>
      </c>
      <c r="E191" s="2" t="str">
        <f>MID([1]Sheet1!F191,FIND("-",[1]Sheet1!F191)+1,FIND(")",[1]Sheet1!F191)-FIND("-",[1]Sheet1!F191)-1)</f>
        <v>徐州</v>
      </c>
      <c r="F191" s="2" t="s">
        <v>18</v>
      </c>
      <c r="G191" s="2" t="s">
        <v>162</v>
      </c>
      <c r="H191" s="2" t="s">
        <v>20</v>
      </c>
      <c r="I191" s="2" t="s">
        <v>21</v>
      </c>
      <c r="J191" s="2" t="s">
        <v>77</v>
      </c>
      <c r="K191" s="2" t="s">
        <v>130</v>
      </c>
      <c r="L191" s="2" t="s">
        <v>83</v>
      </c>
      <c r="M191" s="2" t="s">
        <v>36</v>
      </c>
      <c r="N191" s="2" t="s">
        <v>105</v>
      </c>
      <c r="O191" s="2" t="s">
        <v>181</v>
      </c>
      <c r="P191" s="2" t="s">
        <v>39</v>
      </c>
      <c r="Q191" s="2" t="s">
        <v>48</v>
      </c>
    </row>
    <row r="192" spans="1:17">
      <c r="A192" s="2" t="s">
        <v>396</v>
      </c>
      <c r="B192" s="2" t="str">
        <f>[1]Sheet1!M192</f>
        <v>男</v>
      </c>
      <c r="C192" s="3" t="str" cm="1">
        <f t="array" ref="C1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2" s="2" t="str">
        <f>MID([1]Sheet1!F192,FIND("(",[1]Sheet1!F192)+1,FIND("-",[1]Sheet1!F192)-FIND("(",[1]Sheet1!F192)-1)</f>
        <v>江苏</v>
      </c>
      <c r="E192" s="2" t="str">
        <f>MID([1]Sheet1!F192,FIND("-",[1]Sheet1!F192)+1,FIND(")",[1]Sheet1!F192)-FIND("-",[1]Sheet1!F192)-1)</f>
        <v>徐州</v>
      </c>
      <c r="F192" s="2" t="s">
        <v>42</v>
      </c>
      <c r="G192" s="2" t="s">
        <v>32</v>
      </c>
      <c r="H192" s="2" t="s">
        <v>20</v>
      </c>
      <c r="I192" s="2" t="s">
        <v>51</v>
      </c>
      <c r="J192" s="2" t="s">
        <v>77</v>
      </c>
      <c r="K192" s="2" t="s">
        <v>397</v>
      </c>
      <c r="L192" s="2" t="s">
        <v>24</v>
      </c>
      <c r="M192" s="2" t="s">
        <v>111</v>
      </c>
      <c r="N192" s="2" t="s">
        <v>26</v>
      </c>
      <c r="O192" s="2" t="s">
        <v>398</v>
      </c>
      <c r="P192" s="2" t="s">
        <v>175</v>
      </c>
      <c r="Q192" s="2" t="s">
        <v>29</v>
      </c>
    </row>
    <row r="193" spans="1:17">
      <c r="A193" s="2" t="s">
        <v>399</v>
      </c>
      <c r="B193" s="2" t="str">
        <f>[1]Sheet1!M193</f>
        <v>男</v>
      </c>
      <c r="C193" s="3" t="str" cm="1">
        <f t="array" ref="C1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3" s="2" t="str">
        <f>MID([1]Sheet1!F193,FIND("(",[1]Sheet1!F193)+1,FIND("-",[1]Sheet1!F193)-FIND("(",[1]Sheet1!F193)-1)</f>
        <v>江苏</v>
      </c>
      <c r="E193" s="2" t="str">
        <f>MID([1]Sheet1!F193,FIND("-",[1]Sheet1!F193)+1,FIND(")",[1]Sheet1!F193)-FIND("-",[1]Sheet1!F193)-1)</f>
        <v>徐州</v>
      </c>
      <c r="F193" s="2" t="s">
        <v>18</v>
      </c>
      <c r="G193" s="2" t="s">
        <v>50</v>
      </c>
      <c r="H193" s="2" t="s">
        <v>33</v>
      </c>
      <c r="I193" s="2" t="s">
        <v>21</v>
      </c>
      <c r="J193" s="2" t="s">
        <v>22</v>
      </c>
      <c r="K193" s="2" t="s">
        <v>121</v>
      </c>
      <c r="L193" s="2" t="s">
        <v>24</v>
      </c>
      <c r="M193" s="2" t="s">
        <v>36</v>
      </c>
      <c r="N193" s="2" t="s">
        <v>37</v>
      </c>
      <c r="O193" s="2" t="s">
        <v>47</v>
      </c>
      <c r="P193" s="2" t="s">
        <v>86</v>
      </c>
      <c r="Q193" s="2" t="s">
        <v>400</v>
      </c>
    </row>
    <row r="194" spans="1:17">
      <c r="A194" s="2" t="s">
        <v>401</v>
      </c>
      <c r="B194" s="2" t="str">
        <f>[1]Sheet1!M194</f>
        <v>男</v>
      </c>
      <c r="C194" s="3" t="str" cm="1">
        <f t="array" ref="C1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4" s="2" t="str">
        <f>MID([1]Sheet1!F194,FIND("(",[1]Sheet1!F194)+1,FIND("-",[1]Sheet1!F194)-FIND("(",[1]Sheet1!F194)-1)</f>
        <v>江苏</v>
      </c>
      <c r="E194" s="2" t="str">
        <f>MID([1]Sheet1!F194,FIND("-",[1]Sheet1!F194)+1,FIND(")",[1]Sheet1!F194)-FIND("-",[1]Sheet1!F194)-1)</f>
        <v>徐州</v>
      </c>
      <c r="F194" s="2" t="s">
        <v>42</v>
      </c>
      <c r="G194" s="2" t="s">
        <v>50</v>
      </c>
      <c r="H194" s="2" t="s">
        <v>66</v>
      </c>
      <c r="I194" s="2" t="s">
        <v>21</v>
      </c>
      <c r="J194" s="2" t="s">
        <v>82</v>
      </c>
      <c r="K194" s="2" t="s">
        <v>402</v>
      </c>
      <c r="L194" s="2" t="s">
        <v>83</v>
      </c>
      <c r="M194" s="2" t="s">
        <v>36</v>
      </c>
      <c r="N194" s="2" t="s">
        <v>105</v>
      </c>
      <c r="O194" s="2" t="s">
        <v>380</v>
      </c>
      <c r="P194" s="2" t="s">
        <v>28</v>
      </c>
      <c r="Q194" s="2" t="s">
        <v>200</v>
      </c>
    </row>
    <row r="195" spans="1:17">
      <c r="A195" s="2" t="s">
        <v>403</v>
      </c>
      <c r="B195" s="2" t="str">
        <f>[1]Sheet1!M195</f>
        <v>女</v>
      </c>
      <c r="C195" s="3" t="str" cm="1">
        <f t="array" ref="C1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5" s="2" t="str">
        <f>MID([1]Sheet1!F195,FIND("(",[1]Sheet1!F195)+1,FIND("-",[1]Sheet1!F195)-FIND("(",[1]Sheet1!F195)-1)</f>
        <v>江苏</v>
      </c>
      <c r="E195" s="2" t="str">
        <f>MID([1]Sheet1!F195,FIND("-",[1]Sheet1!F195)+1,FIND(")",[1]Sheet1!F195)-FIND("-",[1]Sheet1!F195)-1)</f>
        <v>宿迁</v>
      </c>
      <c r="F195" s="2" t="s">
        <v>18</v>
      </c>
      <c r="G195" s="2" t="s">
        <v>32</v>
      </c>
      <c r="H195" s="2" t="s">
        <v>66</v>
      </c>
      <c r="I195" s="2" t="s">
        <v>120</v>
      </c>
      <c r="J195" s="2" t="s">
        <v>56</v>
      </c>
      <c r="K195" s="2" t="s">
        <v>304</v>
      </c>
      <c r="L195" s="2" t="s">
        <v>24</v>
      </c>
      <c r="M195" s="2" t="s">
        <v>67</v>
      </c>
      <c r="N195" s="2" t="s">
        <v>37</v>
      </c>
      <c r="O195" s="2" t="s">
        <v>305</v>
      </c>
      <c r="P195" s="2" t="s">
        <v>39</v>
      </c>
      <c r="Q195" s="2" t="s">
        <v>267</v>
      </c>
    </row>
    <row r="196" spans="1:17">
      <c r="A196" s="2" t="s">
        <v>404</v>
      </c>
      <c r="B196" s="2" t="str">
        <f>[1]Sheet1!M196</f>
        <v>男</v>
      </c>
      <c r="C196" s="3" t="str" cm="1">
        <f t="array" ref="C1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6" s="2" t="str">
        <f>MID([1]Sheet1!F196,FIND("(",[1]Sheet1!F196)+1,FIND("-",[1]Sheet1!F196)-FIND("(",[1]Sheet1!F196)-1)</f>
        <v>江苏</v>
      </c>
      <c r="E196" s="2" t="str">
        <f>MID([1]Sheet1!F196,FIND("-",[1]Sheet1!F196)+1,FIND(")",[1]Sheet1!F196)-FIND("-",[1]Sheet1!F196)-1)</f>
        <v>宿迁</v>
      </c>
      <c r="F196" s="2" t="s">
        <v>88</v>
      </c>
      <c r="G196" s="2" t="s">
        <v>50</v>
      </c>
      <c r="H196" s="2" t="s">
        <v>66</v>
      </c>
      <c r="I196" s="2" t="s">
        <v>43</v>
      </c>
      <c r="J196" s="2" t="s">
        <v>77</v>
      </c>
      <c r="K196" s="2" t="s">
        <v>121</v>
      </c>
      <c r="L196" s="2" t="s">
        <v>24</v>
      </c>
      <c r="M196" s="2" t="s">
        <v>36</v>
      </c>
      <c r="N196" s="2" t="s">
        <v>26</v>
      </c>
      <c r="O196" s="2" t="s">
        <v>74</v>
      </c>
      <c r="P196" s="2" t="s">
        <v>179</v>
      </c>
      <c r="Q196" s="2" t="s">
        <v>328</v>
      </c>
    </row>
    <row r="197" spans="1:17">
      <c r="A197" s="2" t="s">
        <v>405</v>
      </c>
      <c r="B197" s="2" t="str">
        <f>[1]Sheet1!M197</f>
        <v>男</v>
      </c>
      <c r="C197" s="3" t="str" cm="1">
        <f t="array" ref="C1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97" s="2" t="str">
        <f>MID([1]Sheet1!F197,FIND("(",[1]Sheet1!F197)+1,FIND("-",[1]Sheet1!F197)-FIND("(",[1]Sheet1!F197)-1)</f>
        <v>浙江</v>
      </c>
      <c r="E197" s="2" t="str">
        <f>MID([1]Sheet1!F197,FIND("-",[1]Sheet1!F197)+1,FIND(")",[1]Sheet1!F197)-FIND("-",[1]Sheet1!F197)-1)</f>
        <v>杭州</v>
      </c>
      <c r="F197" s="2" t="s">
        <v>42</v>
      </c>
      <c r="G197" s="2" t="s">
        <v>81</v>
      </c>
      <c r="H197" s="2" t="s">
        <v>20</v>
      </c>
      <c r="I197" s="2" t="s">
        <v>21</v>
      </c>
      <c r="J197" s="2" t="s">
        <v>82</v>
      </c>
      <c r="K197" s="2" t="s">
        <v>121</v>
      </c>
      <c r="L197" s="2" t="s">
        <v>24</v>
      </c>
      <c r="M197" s="2" t="s">
        <v>67</v>
      </c>
      <c r="N197" s="2" t="s">
        <v>37</v>
      </c>
      <c r="O197" s="2" t="s">
        <v>406</v>
      </c>
      <c r="P197" s="2" t="s">
        <v>86</v>
      </c>
      <c r="Q197" s="2" t="s">
        <v>214</v>
      </c>
    </row>
    <row r="198" spans="1:17">
      <c r="A198" s="2" t="s">
        <v>407</v>
      </c>
      <c r="B198" s="2" t="str">
        <f>[1]Sheet1!M198</f>
        <v>女</v>
      </c>
      <c r="C198" s="3" t="str" cm="1">
        <f t="array" ref="C1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98" s="2" t="str">
        <f>MID([1]Sheet1!F198,FIND("(",[1]Sheet1!F198)+1,FIND("-",[1]Sheet1!F198)-FIND("(",[1]Sheet1!F198)-1)</f>
        <v>河南</v>
      </c>
      <c r="E198" s="2" t="str">
        <f>MID([1]Sheet1!F198,FIND("-",[1]Sheet1!F198)+1,FIND(")",[1]Sheet1!F198)-FIND("-",[1]Sheet1!F198)-1)</f>
        <v>焦作</v>
      </c>
      <c r="F198" s="2" t="s">
        <v>18</v>
      </c>
      <c r="G198" s="2" t="s">
        <v>32</v>
      </c>
      <c r="H198" s="2" t="s">
        <v>66</v>
      </c>
      <c r="I198" s="2" t="s">
        <v>21</v>
      </c>
      <c r="J198" s="2" t="s">
        <v>96</v>
      </c>
      <c r="K198" s="2" t="s">
        <v>117</v>
      </c>
      <c r="L198" s="2" t="s">
        <v>24</v>
      </c>
      <c r="M198" s="2" t="s">
        <v>67</v>
      </c>
      <c r="N198" s="2" t="s">
        <v>37</v>
      </c>
      <c r="O198" s="2" t="s">
        <v>106</v>
      </c>
      <c r="P198" s="2" t="s">
        <v>28</v>
      </c>
      <c r="Q198" s="2" t="s">
        <v>259</v>
      </c>
    </row>
    <row r="199" spans="1:17">
      <c r="A199" s="2" t="s">
        <v>408</v>
      </c>
      <c r="B199" s="2" t="str">
        <f>[1]Sheet1!M199</f>
        <v>男</v>
      </c>
      <c r="C199" s="3" t="str" cm="1">
        <f t="array" ref="C1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99" s="2" t="str">
        <f>MID([1]Sheet1!F199,FIND("(",[1]Sheet1!F199)+1,FIND("-",[1]Sheet1!F199)-FIND("(",[1]Sheet1!F199)-1)</f>
        <v>广东</v>
      </c>
      <c r="E199" s="2" t="str">
        <f>MID([1]Sheet1!F199,FIND("-",[1]Sheet1!F199)+1,FIND(")",[1]Sheet1!F199)-FIND("-",[1]Sheet1!F199)-1)</f>
        <v>深圳</v>
      </c>
      <c r="F199" s="2" t="s">
        <v>70</v>
      </c>
      <c r="G199" s="2" t="s">
        <v>50</v>
      </c>
      <c r="H199" s="2" t="s">
        <v>33</v>
      </c>
      <c r="I199" s="2" t="s">
        <v>51</v>
      </c>
      <c r="J199" s="2" t="s">
        <v>82</v>
      </c>
      <c r="K199" s="2" t="s">
        <v>117</v>
      </c>
      <c r="L199" s="2" t="s">
        <v>83</v>
      </c>
      <c r="M199" s="2" t="s">
        <v>71</v>
      </c>
      <c r="N199" s="2" t="s">
        <v>37</v>
      </c>
      <c r="O199" s="2" t="s">
        <v>58</v>
      </c>
      <c r="P199" s="2" t="s">
        <v>179</v>
      </c>
      <c r="Q199" s="2" t="s">
        <v>409</v>
      </c>
    </row>
    <row r="200" spans="1:17">
      <c r="A200" s="2" t="s">
        <v>410</v>
      </c>
      <c r="B200" s="2" t="str">
        <f>[1]Sheet1!M200</f>
        <v>男</v>
      </c>
      <c r="C200" s="3" t="str" cm="1">
        <f t="array" ref="C2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0" s="2" t="str">
        <f>MID([1]Sheet1!F200,FIND("(",[1]Sheet1!F200)+1,FIND("-",[1]Sheet1!F200)-FIND("(",[1]Sheet1!F200)-1)</f>
        <v>山东</v>
      </c>
      <c r="E200" s="2" t="str">
        <f>MID([1]Sheet1!F200,FIND("-",[1]Sheet1!F200)+1,FIND(")",[1]Sheet1!F200)-FIND("-",[1]Sheet1!F200)-1)</f>
        <v>济宁</v>
      </c>
      <c r="F200" s="2" t="s">
        <v>159</v>
      </c>
      <c r="G200" s="2" t="s">
        <v>81</v>
      </c>
      <c r="H200" s="2" t="s">
        <v>66</v>
      </c>
      <c r="I200" s="2" t="s">
        <v>120</v>
      </c>
      <c r="J200" s="2" t="s">
        <v>56</v>
      </c>
      <c r="K200" s="2" t="s">
        <v>130</v>
      </c>
      <c r="L200" s="2" t="s">
        <v>24</v>
      </c>
      <c r="M200" s="2" t="s">
        <v>25</v>
      </c>
      <c r="N200" s="2" t="s">
        <v>37</v>
      </c>
      <c r="O200" s="2" t="s">
        <v>47</v>
      </c>
      <c r="P200" s="2" t="s">
        <v>59</v>
      </c>
      <c r="Q200" s="2" t="s">
        <v>183</v>
      </c>
    </row>
    <row r="201" spans="1:17">
      <c r="A201" s="2" t="s">
        <v>411</v>
      </c>
      <c r="B201" s="2" t="str">
        <f>[1]Sheet1!M201</f>
        <v>男</v>
      </c>
      <c r="C201" s="3" t="str" cm="1">
        <f t="array" ref="C2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1" s="2" t="str">
        <f>MID([1]Sheet1!F201,FIND("(",[1]Sheet1!F201)+1,FIND("-",[1]Sheet1!F201)-FIND("(",[1]Sheet1!F201)-1)</f>
        <v>山东</v>
      </c>
      <c r="E201" s="2" t="str">
        <f>MID([1]Sheet1!F201,FIND("-",[1]Sheet1!F201)+1,FIND(")",[1]Sheet1!F201)-FIND("-",[1]Sheet1!F201)-1)</f>
        <v>济南</v>
      </c>
      <c r="F201" s="2" t="s">
        <v>42</v>
      </c>
      <c r="G201" s="2" t="s">
        <v>81</v>
      </c>
      <c r="H201" s="2" t="s">
        <v>20</v>
      </c>
      <c r="I201" s="2" t="s">
        <v>34</v>
      </c>
      <c r="J201" s="2" t="s">
        <v>35</v>
      </c>
      <c r="K201" s="2" t="s">
        <v>412</v>
      </c>
      <c r="L201" s="2" t="s">
        <v>24</v>
      </c>
      <c r="M201" s="2" t="s">
        <v>36</v>
      </c>
      <c r="N201" s="2" t="s">
        <v>37</v>
      </c>
      <c r="O201" s="2" t="s">
        <v>97</v>
      </c>
      <c r="P201" s="2" t="s">
        <v>28</v>
      </c>
      <c r="Q201" s="2" t="s">
        <v>68</v>
      </c>
    </row>
    <row r="202" spans="1:17">
      <c r="A202" s="2" t="s">
        <v>413</v>
      </c>
      <c r="B202" s="2" t="str">
        <f>[1]Sheet1!M202</f>
        <v>男</v>
      </c>
      <c r="C202" s="3" t="str" cm="1">
        <f t="array" ref="C2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2" s="2" t="str">
        <f>MID([1]Sheet1!F202,FIND("(",[1]Sheet1!F202)+1,FIND("-",[1]Sheet1!F202)-FIND("(",[1]Sheet1!F202)-1)</f>
        <v>山东</v>
      </c>
      <c r="E202" s="2" t="str">
        <f>MID([1]Sheet1!F202,FIND("-",[1]Sheet1!F202)+1,FIND(")",[1]Sheet1!F202)-FIND("-",[1]Sheet1!F202)-1)</f>
        <v>临沂</v>
      </c>
      <c r="F202" s="2" t="s">
        <v>31</v>
      </c>
      <c r="G202" s="2" t="s">
        <v>50</v>
      </c>
      <c r="H202" s="2" t="s">
        <v>20</v>
      </c>
      <c r="I202" s="2" t="s">
        <v>34</v>
      </c>
      <c r="J202" s="2" t="s">
        <v>82</v>
      </c>
      <c r="K202" s="2" t="s">
        <v>115</v>
      </c>
      <c r="L202" s="2" t="s">
        <v>83</v>
      </c>
      <c r="M202" s="2" t="s">
        <v>25</v>
      </c>
      <c r="N202" s="2" t="s">
        <v>37</v>
      </c>
      <c r="O202" s="2" t="s">
        <v>58</v>
      </c>
      <c r="P202" s="2" t="s">
        <v>39</v>
      </c>
      <c r="Q202" s="2" t="s">
        <v>118</v>
      </c>
    </row>
    <row r="203" spans="1:17">
      <c r="A203" s="2" t="s">
        <v>414</v>
      </c>
      <c r="B203" s="2" t="str">
        <f>[1]Sheet1!M203</f>
        <v>男</v>
      </c>
      <c r="C203" s="3" t="str" cm="1">
        <f t="array" ref="C2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3" s="2" t="str">
        <f>MID([1]Sheet1!F203,FIND("(",[1]Sheet1!F203)+1,FIND("-",[1]Sheet1!F203)-FIND("(",[1]Sheet1!F203)-1)</f>
        <v>山东</v>
      </c>
      <c r="E203" s="2" t="str">
        <f>MID([1]Sheet1!F203,FIND("-",[1]Sheet1!F203)+1,FIND(")",[1]Sheet1!F203)-FIND("-",[1]Sheet1!F203)-1)</f>
        <v>济南</v>
      </c>
      <c r="F203" s="2" t="s">
        <v>31</v>
      </c>
      <c r="G203" s="2" t="s">
        <v>50</v>
      </c>
      <c r="H203" s="2" t="s">
        <v>66</v>
      </c>
      <c r="I203" s="2" t="s">
        <v>21</v>
      </c>
      <c r="J203" s="2" t="s">
        <v>82</v>
      </c>
      <c r="K203" s="2" t="s">
        <v>240</v>
      </c>
      <c r="L203" s="2" t="s">
        <v>24</v>
      </c>
      <c r="M203" s="2" t="s">
        <v>78</v>
      </c>
      <c r="N203" s="2" t="s">
        <v>37</v>
      </c>
      <c r="O203" s="2" t="s">
        <v>199</v>
      </c>
      <c r="P203" s="2" t="s">
        <v>86</v>
      </c>
      <c r="Q203" s="2" t="s">
        <v>415</v>
      </c>
    </row>
    <row r="204" spans="1:17">
      <c r="A204" s="2" t="s">
        <v>416</v>
      </c>
      <c r="B204" s="2" t="str">
        <f>[1]Sheet1!M204</f>
        <v>男</v>
      </c>
      <c r="C204" s="3" t="str" cm="1">
        <f t="array" ref="C2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4" s="2" t="str">
        <f>MID([1]Sheet1!F204,FIND("(",[1]Sheet1!F204)+1,FIND("-",[1]Sheet1!F204)-FIND("(",[1]Sheet1!F204)-1)</f>
        <v>河南</v>
      </c>
      <c r="E204" s="2" t="str">
        <f>MID([1]Sheet1!F204,FIND("-",[1]Sheet1!F204)+1,FIND(")",[1]Sheet1!F204)-FIND("-",[1]Sheet1!F204)-1)</f>
        <v>新乡</v>
      </c>
      <c r="F204" s="2" t="s">
        <v>42</v>
      </c>
      <c r="G204" s="2" t="s">
        <v>50</v>
      </c>
      <c r="H204" s="2" t="s">
        <v>66</v>
      </c>
      <c r="I204" s="2" t="s">
        <v>21</v>
      </c>
      <c r="J204" s="2" t="s">
        <v>77</v>
      </c>
      <c r="K204" s="2" t="s">
        <v>121</v>
      </c>
      <c r="L204" s="2" t="s">
        <v>24</v>
      </c>
      <c r="M204" s="2" t="s">
        <v>25</v>
      </c>
      <c r="N204" s="2" t="s">
        <v>37</v>
      </c>
      <c r="O204" s="2" t="s">
        <v>47</v>
      </c>
      <c r="P204" s="2" t="s">
        <v>39</v>
      </c>
      <c r="Q204" s="2" t="s">
        <v>133</v>
      </c>
    </row>
    <row r="205" spans="1:17">
      <c r="A205" s="2" t="s">
        <v>417</v>
      </c>
      <c r="B205" s="2" t="str">
        <f>[1]Sheet1!M205</f>
        <v>男</v>
      </c>
      <c r="C205" s="3" t="str" cm="1">
        <f t="array" ref="C2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05" s="2" t="str">
        <f>MID([1]Sheet1!F205,FIND("(",[1]Sheet1!F205)+1,FIND("-",[1]Sheet1!F205)-FIND("(",[1]Sheet1!F205)-1)</f>
        <v>山东</v>
      </c>
      <c r="E205" s="2" t="str">
        <f>MID([1]Sheet1!F205,FIND("-",[1]Sheet1!F205)+1,FIND(")",[1]Sheet1!F205)-FIND("-",[1]Sheet1!F205)-1)</f>
        <v>济南</v>
      </c>
      <c r="F205" s="2" t="s">
        <v>31</v>
      </c>
      <c r="G205" s="2" t="s">
        <v>50</v>
      </c>
      <c r="H205" s="2" t="s">
        <v>20</v>
      </c>
      <c r="I205" s="2" t="s">
        <v>51</v>
      </c>
      <c r="J205" s="2" t="s">
        <v>35</v>
      </c>
      <c r="K205" s="2" t="s">
        <v>137</v>
      </c>
      <c r="L205" s="2" t="s">
        <v>24</v>
      </c>
      <c r="M205" s="2" t="s">
        <v>25</v>
      </c>
      <c r="N205" s="2" t="s">
        <v>37</v>
      </c>
      <c r="O205" s="2" t="s">
        <v>47</v>
      </c>
      <c r="P205" s="2" t="s">
        <v>63</v>
      </c>
      <c r="Q205" s="2" t="s">
        <v>418</v>
      </c>
    </row>
    <row r="206" spans="1:17">
      <c r="A206" s="2" t="s">
        <v>419</v>
      </c>
      <c r="B206" s="2" t="str">
        <f>[1]Sheet1!M206</f>
        <v>男</v>
      </c>
      <c r="C206" s="3" t="str" cm="1">
        <f t="array" ref="C2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06" s="2" t="str">
        <f>MID([1]Sheet1!F206,FIND("(",[1]Sheet1!F206)+1,FIND("-",[1]Sheet1!F206)-FIND("(",[1]Sheet1!F206)-1)</f>
        <v>江苏</v>
      </c>
      <c r="E206" s="2" t="str">
        <f>MID([1]Sheet1!F206,FIND("-",[1]Sheet1!F206)+1,FIND(")",[1]Sheet1!F206)-FIND("-",[1]Sheet1!F206)-1)</f>
        <v>徐州</v>
      </c>
      <c r="F206" s="2" t="s">
        <v>18</v>
      </c>
      <c r="G206" s="2" t="s">
        <v>50</v>
      </c>
      <c r="H206" s="2" t="s">
        <v>55</v>
      </c>
      <c r="I206" s="2" t="s">
        <v>34</v>
      </c>
      <c r="J206" s="2" t="s">
        <v>35</v>
      </c>
      <c r="K206" s="2" t="s">
        <v>130</v>
      </c>
      <c r="L206" s="2" t="s">
        <v>24</v>
      </c>
      <c r="M206" s="2" t="s">
        <v>36</v>
      </c>
      <c r="N206" s="2" t="s">
        <v>85</v>
      </c>
      <c r="O206" s="2" t="s">
        <v>27</v>
      </c>
      <c r="P206" s="2" t="s">
        <v>39</v>
      </c>
      <c r="Q206" s="2" t="s">
        <v>48</v>
      </c>
    </row>
    <row r="207" spans="1:17">
      <c r="A207" s="2" t="s">
        <v>420</v>
      </c>
      <c r="B207" s="2" t="str">
        <f>[1]Sheet1!M207</f>
        <v>男</v>
      </c>
      <c r="C207" s="3" t="str" cm="1">
        <f t="array" ref="C2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07" s="2" t="str">
        <f>MID([1]Sheet1!F207,FIND("(",[1]Sheet1!F207)+1,FIND("-",[1]Sheet1!F207)-FIND("(",[1]Sheet1!F207)-1)</f>
        <v>江苏</v>
      </c>
      <c r="E207" s="2" t="str">
        <f>MID([1]Sheet1!F207,FIND("-",[1]Sheet1!F207)+1,FIND(")",[1]Sheet1!F207)-FIND("-",[1]Sheet1!F207)-1)</f>
        <v>徐州</v>
      </c>
      <c r="F207" s="2" t="s">
        <v>31</v>
      </c>
      <c r="G207" s="2" t="s">
        <v>50</v>
      </c>
      <c r="H207" s="2" t="s">
        <v>33</v>
      </c>
      <c r="I207" s="2" t="s">
        <v>211</v>
      </c>
      <c r="J207" s="2" t="s">
        <v>35</v>
      </c>
      <c r="K207" s="2" t="s">
        <v>130</v>
      </c>
      <c r="L207" s="2" t="s">
        <v>24</v>
      </c>
      <c r="M207" s="2" t="s">
        <v>36</v>
      </c>
      <c r="N207" s="2" t="s">
        <v>37</v>
      </c>
      <c r="O207" s="2" t="s">
        <v>97</v>
      </c>
      <c r="P207" s="2" t="s">
        <v>39</v>
      </c>
      <c r="Q207" s="2" t="s">
        <v>123</v>
      </c>
    </row>
    <row r="208" spans="1:17">
      <c r="A208" s="2" t="s">
        <v>421</v>
      </c>
      <c r="B208" s="2" t="str">
        <f>[1]Sheet1!M208</f>
        <v>男</v>
      </c>
      <c r="C208" s="3" t="str" cm="1">
        <f t="array" ref="C2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08" s="2" t="str">
        <f>MID([1]Sheet1!F208,FIND("(",[1]Sheet1!F208)+1,FIND("-",[1]Sheet1!F208)-FIND("(",[1]Sheet1!F208)-1)</f>
        <v>江苏</v>
      </c>
      <c r="E208" s="2" t="str">
        <f>MID([1]Sheet1!F208,FIND("-",[1]Sheet1!F208)+1,FIND(")",[1]Sheet1!F208)-FIND("-",[1]Sheet1!F208)-1)</f>
        <v>徐州</v>
      </c>
      <c r="F208" s="2" t="s">
        <v>42</v>
      </c>
      <c r="G208" s="2" t="s">
        <v>50</v>
      </c>
      <c r="H208" s="2" t="s">
        <v>20</v>
      </c>
      <c r="I208" s="2" t="s">
        <v>21</v>
      </c>
      <c r="J208" s="2" t="s">
        <v>82</v>
      </c>
      <c r="K208" s="2" t="s">
        <v>240</v>
      </c>
      <c r="L208" s="2" t="s">
        <v>83</v>
      </c>
      <c r="M208" s="2" t="s">
        <v>25</v>
      </c>
      <c r="N208" s="2" t="s">
        <v>37</v>
      </c>
      <c r="O208" s="2" t="s">
        <v>422</v>
      </c>
      <c r="P208" s="2" t="s">
        <v>218</v>
      </c>
      <c r="Q208" s="2" t="s">
        <v>48</v>
      </c>
    </row>
    <row r="209" spans="1:17">
      <c r="A209" s="2" t="s">
        <v>423</v>
      </c>
      <c r="B209" s="2" t="str">
        <f>[1]Sheet1!M209</f>
        <v>男</v>
      </c>
      <c r="C209" s="3" t="str" cm="1">
        <f t="array" ref="C2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09" s="2" t="str">
        <f>MID([1]Sheet1!F209,FIND("(",[1]Sheet1!F209)+1,FIND("-",[1]Sheet1!F209)-FIND("(",[1]Sheet1!F209)-1)</f>
        <v>江苏</v>
      </c>
      <c r="E209" s="2" t="str">
        <f>MID([1]Sheet1!F209,FIND("-",[1]Sheet1!F209)+1,FIND(")",[1]Sheet1!F209)-FIND("-",[1]Sheet1!F209)-1)</f>
        <v>徐州</v>
      </c>
      <c r="F209" s="2" t="s">
        <v>42</v>
      </c>
      <c r="G209" s="2" t="s">
        <v>50</v>
      </c>
      <c r="H209" s="2" t="s">
        <v>20</v>
      </c>
      <c r="I209" s="2" t="s">
        <v>73</v>
      </c>
      <c r="J209" s="2" t="s">
        <v>82</v>
      </c>
      <c r="K209" s="2" t="s">
        <v>121</v>
      </c>
      <c r="L209" s="2" t="s">
        <v>24</v>
      </c>
      <c r="M209" s="2" t="s">
        <v>67</v>
      </c>
      <c r="N209" s="2" t="s">
        <v>26</v>
      </c>
      <c r="O209" s="2" t="s">
        <v>424</v>
      </c>
      <c r="P209" s="2" t="s">
        <v>39</v>
      </c>
      <c r="Q209" s="2" t="s">
        <v>123</v>
      </c>
    </row>
    <row r="210" spans="1:17">
      <c r="A210" s="2" t="s">
        <v>425</v>
      </c>
      <c r="B210" s="2" t="str">
        <f>[1]Sheet1!M210</f>
        <v>男</v>
      </c>
      <c r="C210" s="3" t="str" cm="1">
        <f t="array" ref="C2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10" s="2" t="str">
        <f>MID([1]Sheet1!F210,FIND("(",[1]Sheet1!F210)+1,FIND("-",[1]Sheet1!F210)-FIND("(",[1]Sheet1!F210)-1)</f>
        <v>江苏</v>
      </c>
      <c r="E210" s="2" t="str">
        <f>MID([1]Sheet1!F210,FIND("-",[1]Sheet1!F210)+1,FIND(")",[1]Sheet1!F210)-FIND("-",[1]Sheet1!F210)-1)</f>
        <v>南京</v>
      </c>
      <c r="F210" s="2" t="s">
        <v>42</v>
      </c>
      <c r="G210" s="2" t="s">
        <v>32</v>
      </c>
      <c r="H210" s="2" t="s">
        <v>20</v>
      </c>
      <c r="I210" s="2" t="s">
        <v>120</v>
      </c>
      <c r="J210" s="2" t="s">
        <v>77</v>
      </c>
      <c r="K210" s="2" t="s">
        <v>212</v>
      </c>
      <c r="L210" s="2" t="s">
        <v>24</v>
      </c>
      <c r="M210" s="2" t="s">
        <v>36</v>
      </c>
      <c r="N210" s="2" t="s">
        <v>46</v>
      </c>
      <c r="O210" s="2" t="s">
        <v>89</v>
      </c>
      <c r="P210" s="2" t="s">
        <v>39</v>
      </c>
      <c r="Q210" s="2" t="s">
        <v>123</v>
      </c>
    </row>
    <row r="211" spans="1:17">
      <c r="A211" s="2" t="s">
        <v>426</v>
      </c>
      <c r="B211" s="2" t="str">
        <f>[1]Sheet1!M211</f>
        <v>男</v>
      </c>
      <c r="C211" s="3" t="str" cm="1">
        <f t="array" ref="C2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11" s="2" t="str">
        <f>MID([1]Sheet1!F211,FIND("(",[1]Sheet1!F211)+1,FIND("-",[1]Sheet1!F211)-FIND("(",[1]Sheet1!F211)-1)</f>
        <v>广东</v>
      </c>
      <c r="E211" s="2" t="str">
        <f>MID([1]Sheet1!F211,FIND("-",[1]Sheet1!F211)+1,FIND(")",[1]Sheet1!F211)-FIND("-",[1]Sheet1!F211)-1)</f>
        <v>未知</v>
      </c>
      <c r="F211" s="2" t="s">
        <v>31</v>
      </c>
      <c r="G211" s="2" t="s">
        <v>81</v>
      </c>
      <c r="H211" s="2" t="s">
        <v>66</v>
      </c>
      <c r="I211" s="2" t="s">
        <v>120</v>
      </c>
      <c r="J211" s="2" t="s">
        <v>56</v>
      </c>
      <c r="K211" s="2" t="s">
        <v>115</v>
      </c>
      <c r="L211" s="2" t="s">
        <v>24</v>
      </c>
      <c r="M211" s="2" t="s">
        <v>25</v>
      </c>
      <c r="N211" s="2" t="s">
        <v>37</v>
      </c>
      <c r="O211" s="2" t="s">
        <v>27</v>
      </c>
      <c r="P211" s="2" t="s">
        <v>59</v>
      </c>
      <c r="Q211" s="2" t="s">
        <v>172</v>
      </c>
    </row>
    <row r="212" spans="1:17">
      <c r="A212" s="2" t="s">
        <v>427</v>
      </c>
      <c r="B212" s="2" t="str">
        <f>[1]Sheet1!M212</f>
        <v>男</v>
      </c>
      <c r="C212" s="3" t="str" cm="1">
        <f t="array" ref="C2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12" s="2" t="str">
        <f>MID([1]Sheet1!F212,FIND("(",[1]Sheet1!F212)+1,FIND("-",[1]Sheet1!F212)-FIND("(",[1]Sheet1!F212)-1)</f>
        <v>江苏</v>
      </c>
      <c r="E212" s="2" t="str">
        <f>MID([1]Sheet1!F212,FIND("-",[1]Sheet1!F212)+1,FIND(")",[1]Sheet1!F212)-FIND("-",[1]Sheet1!F212)-1)</f>
        <v>盐城</v>
      </c>
      <c r="F212" s="2" t="s">
        <v>42</v>
      </c>
      <c r="G212" s="2" t="s">
        <v>32</v>
      </c>
      <c r="H212" s="2" t="s">
        <v>33</v>
      </c>
      <c r="I212" s="2" t="s">
        <v>120</v>
      </c>
      <c r="J212" s="2" t="s">
        <v>22</v>
      </c>
      <c r="K212" s="2" t="s">
        <v>121</v>
      </c>
      <c r="L212" s="2" t="s">
        <v>24</v>
      </c>
      <c r="M212" s="2" t="s">
        <v>25</v>
      </c>
      <c r="N212" s="2" t="s">
        <v>85</v>
      </c>
      <c r="O212" s="2" t="s">
        <v>122</v>
      </c>
      <c r="P212" s="2" t="s">
        <v>63</v>
      </c>
      <c r="Q212" s="2" t="s">
        <v>75</v>
      </c>
    </row>
    <row r="213" spans="1:17">
      <c r="A213" s="2" t="s">
        <v>428</v>
      </c>
      <c r="B213" s="2" t="str">
        <f>[1]Sheet1!M213</f>
        <v>女</v>
      </c>
      <c r="C213" s="3" t="str" cm="1">
        <f t="array" ref="C2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13" s="2" t="str">
        <f>MID([1]Sheet1!F213,FIND("(",[1]Sheet1!F213)+1,FIND("-",[1]Sheet1!F213)-FIND("(",[1]Sheet1!F213)-1)</f>
        <v>广西</v>
      </c>
      <c r="E213" s="2" t="str">
        <f>MID([1]Sheet1!F213,FIND("-",[1]Sheet1!F213)+1,FIND(")",[1]Sheet1!F213)-FIND("-",[1]Sheet1!F213)-1)</f>
        <v>柳州</v>
      </c>
      <c r="F213" s="2" t="s">
        <v>31</v>
      </c>
      <c r="G213" s="2" t="s">
        <v>50</v>
      </c>
      <c r="H213" s="2" t="s">
        <v>66</v>
      </c>
      <c r="I213" s="2" t="s">
        <v>120</v>
      </c>
      <c r="J213" s="2" t="s">
        <v>56</v>
      </c>
      <c r="K213" s="2" t="s">
        <v>240</v>
      </c>
      <c r="L213" s="2" t="s">
        <v>83</v>
      </c>
      <c r="M213" s="2" t="s">
        <v>71</v>
      </c>
      <c r="N213" s="2" t="s">
        <v>46</v>
      </c>
      <c r="O213" s="2" t="s">
        <v>58</v>
      </c>
      <c r="P213" s="2" t="s">
        <v>39</v>
      </c>
      <c r="Q213" s="2" t="s">
        <v>75</v>
      </c>
    </row>
    <row r="214" spans="1:17">
      <c r="A214" s="2" t="s">
        <v>429</v>
      </c>
      <c r="B214" s="2" t="str">
        <f>[1]Sheet1!M214</f>
        <v>男</v>
      </c>
      <c r="C214" s="3" t="str" cm="1">
        <f t="array" ref="C2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14" s="2" t="str">
        <f>MID([1]Sheet1!F214,FIND("(",[1]Sheet1!F214)+1,FIND("-",[1]Sheet1!F214)-FIND("(",[1]Sheet1!F214)-1)</f>
        <v>广东</v>
      </c>
      <c r="E214" s="2" t="str">
        <f>MID([1]Sheet1!F214,FIND("-",[1]Sheet1!F214)+1,FIND(")",[1]Sheet1!F214)-FIND("-",[1]Sheet1!F214)-1)</f>
        <v>东莞</v>
      </c>
      <c r="F214" s="2" t="s">
        <v>42</v>
      </c>
      <c r="G214" s="2" t="s">
        <v>50</v>
      </c>
      <c r="H214" s="2" t="s">
        <v>33</v>
      </c>
      <c r="I214" s="2" t="s">
        <v>51</v>
      </c>
      <c r="J214" s="2" t="s">
        <v>77</v>
      </c>
      <c r="K214" s="2" t="s">
        <v>117</v>
      </c>
      <c r="L214" s="2" t="s">
        <v>24</v>
      </c>
      <c r="M214" s="2" t="s">
        <v>36</v>
      </c>
      <c r="N214" s="2" t="s">
        <v>37</v>
      </c>
      <c r="O214" s="2" t="s">
        <v>47</v>
      </c>
      <c r="P214" s="2" t="s">
        <v>63</v>
      </c>
      <c r="Q214" s="2" t="s">
        <v>261</v>
      </c>
    </row>
    <row r="215" spans="1:17">
      <c r="A215" s="2" t="s">
        <v>430</v>
      </c>
      <c r="B215" s="2" t="str">
        <f>[1]Sheet1!M215</f>
        <v>男</v>
      </c>
      <c r="C215" s="3" t="str" cm="1">
        <f t="array" ref="C2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15" s="2" t="str">
        <f>MID([1]Sheet1!F215,FIND("(",[1]Sheet1!F215)+1,FIND("-",[1]Sheet1!F215)-FIND("(",[1]Sheet1!F215)-1)</f>
        <v>广东</v>
      </c>
      <c r="E215" s="2" t="str">
        <f>MID([1]Sheet1!F215,FIND("-",[1]Sheet1!F215)+1,FIND(")",[1]Sheet1!F215)-FIND("-",[1]Sheet1!F215)-1)</f>
        <v>深圳</v>
      </c>
      <c r="F215" s="2" t="s">
        <v>159</v>
      </c>
      <c r="G215" s="2" t="s">
        <v>50</v>
      </c>
      <c r="H215" s="2" t="s">
        <v>66</v>
      </c>
      <c r="I215" s="2" t="s">
        <v>34</v>
      </c>
      <c r="J215" s="2" t="s">
        <v>96</v>
      </c>
      <c r="K215" s="2" t="s">
        <v>130</v>
      </c>
      <c r="L215" s="2" t="s">
        <v>24</v>
      </c>
      <c r="M215" s="2" t="s">
        <v>126</v>
      </c>
      <c r="N215" s="2" t="s">
        <v>26</v>
      </c>
      <c r="O215" s="2" t="s">
        <v>199</v>
      </c>
      <c r="P215" s="2" t="s">
        <v>39</v>
      </c>
      <c r="Q215" s="2" t="s">
        <v>275</v>
      </c>
    </row>
    <row r="216" spans="1:17">
      <c r="A216" s="2" t="s">
        <v>431</v>
      </c>
      <c r="B216" s="2" t="str">
        <f>[1]Sheet1!M216</f>
        <v>男</v>
      </c>
      <c r="C216" s="3" t="str" cm="1">
        <f t="array" ref="C2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16" s="2" t="str">
        <f>MID([1]Sheet1!F216,FIND("(",[1]Sheet1!F216)+1,FIND("-",[1]Sheet1!F216)-FIND("(",[1]Sheet1!F216)-1)</f>
        <v>广东</v>
      </c>
      <c r="E216" s="2" t="str">
        <f>MID([1]Sheet1!F216,FIND("-",[1]Sheet1!F216)+1,FIND(")",[1]Sheet1!F216)-FIND("-",[1]Sheet1!F216)-1)</f>
        <v>佛山</v>
      </c>
      <c r="F216" s="2" t="s">
        <v>159</v>
      </c>
      <c r="G216" s="2" t="s">
        <v>19</v>
      </c>
      <c r="H216" s="2" t="s">
        <v>33</v>
      </c>
      <c r="I216" s="2" t="s">
        <v>21</v>
      </c>
      <c r="J216" s="2" t="s">
        <v>82</v>
      </c>
      <c r="K216" s="2" t="s">
        <v>125</v>
      </c>
      <c r="L216" s="2" t="s">
        <v>24</v>
      </c>
      <c r="M216" s="2" t="s">
        <v>36</v>
      </c>
      <c r="N216" s="2" t="s">
        <v>46</v>
      </c>
      <c r="O216" s="2" t="s">
        <v>89</v>
      </c>
      <c r="P216" s="2" t="s">
        <v>86</v>
      </c>
      <c r="Q216" s="2" t="s">
        <v>133</v>
      </c>
    </row>
    <row r="217" spans="1:17">
      <c r="A217" s="2" t="s">
        <v>432</v>
      </c>
      <c r="B217" s="2" t="str">
        <f>[1]Sheet1!M217</f>
        <v>男</v>
      </c>
      <c r="C217" s="3" t="str" cm="1">
        <f t="array" ref="C2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17" s="2" t="str">
        <f>MID([1]Sheet1!F217,FIND("(",[1]Sheet1!F217)+1,FIND("-",[1]Sheet1!F217)-FIND("(",[1]Sheet1!F217)-1)</f>
        <v>四川</v>
      </c>
      <c r="E217" s="2" t="str">
        <f>MID([1]Sheet1!F217,FIND("-",[1]Sheet1!F217)+1,FIND(")",[1]Sheet1!F217)-FIND("-",[1]Sheet1!F217)-1)</f>
        <v>宜宾</v>
      </c>
      <c r="F217" s="2" t="s">
        <v>159</v>
      </c>
      <c r="G217" s="2" t="s">
        <v>32</v>
      </c>
      <c r="H217" s="2" t="s">
        <v>33</v>
      </c>
      <c r="I217" s="2" t="s">
        <v>21</v>
      </c>
      <c r="J217" s="2" t="s">
        <v>82</v>
      </c>
      <c r="K217" s="2" t="s">
        <v>121</v>
      </c>
      <c r="L217" s="2" t="s">
        <v>24</v>
      </c>
      <c r="M217" s="2" t="s">
        <v>25</v>
      </c>
      <c r="N217" s="2" t="s">
        <v>37</v>
      </c>
      <c r="O217" s="2" t="s">
        <v>47</v>
      </c>
      <c r="P217" s="2" t="s">
        <v>63</v>
      </c>
      <c r="Q217" s="2" t="s">
        <v>433</v>
      </c>
    </row>
    <row r="218" spans="1:17">
      <c r="A218" s="2" t="s">
        <v>432</v>
      </c>
      <c r="B218" s="2" t="str">
        <f>[1]Sheet1!M218</f>
        <v>男</v>
      </c>
      <c r="C218" s="3" t="str" cm="1">
        <f t="array" ref="C2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18" s="2" t="str">
        <f>MID([1]Sheet1!F218,FIND("(",[1]Sheet1!F218)+1,FIND("-",[1]Sheet1!F218)-FIND("(",[1]Sheet1!F218)-1)</f>
        <v>四川</v>
      </c>
      <c r="E218" s="2" t="str">
        <f>MID([1]Sheet1!F218,FIND("-",[1]Sheet1!F218)+1,FIND(")",[1]Sheet1!F218)-FIND("-",[1]Sheet1!F218)-1)</f>
        <v>宜宾</v>
      </c>
      <c r="F218" s="2" t="s">
        <v>159</v>
      </c>
      <c r="G218" s="2" t="s">
        <v>32</v>
      </c>
      <c r="H218" s="2" t="s">
        <v>33</v>
      </c>
      <c r="I218" s="2" t="s">
        <v>21</v>
      </c>
      <c r="J218" s="2" t="s">
        <v>82</v>
      </c>
      <c r="K218" s="2" t="s">
        <v>121</v>
      </c>
      <c r="L218" s="2" t="s">
        <v>24</v>
      </c>
      <c r="M218" s="2" t="s">
        <v>36</v>
      </c>
      <c r="N218" s="2" t="s">
        <v>37</v>
      </c>
      <c r="O218" s="2" t="s">
        <v>122</v>
      </c>
      <c r="P218" s="2" t="s">
        <v>175</v>
      </c>
      <c r="Q218" s="2" t="s">
        <v>434</v>
      </c>
    </row>
    <row r="219" spans="1:17">
      <c r="A219" s="2" t="s">
        <v>435</v>
      </c>
      <c r="B219" s="2" t="str">
        <f>[1]Sheet1!M219</f>
        <v>女</v>
      </c>
      <c r="C219" s="3" t="str" cm="1">
        <f t="array" ref="C2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19" s="2" t="str">
        <f>MID([1]Sheet1!F219,FIND("(",[1]Sheet1!F219)+1,FIND("-",[1]Sheet1!F219)-FIND("(",[1]Sheet1!F219)-1)</f>
        <v>山东</v>
      </c>
      <c r="E219" s="2" t="str">
        <f>MID([1]Sheet1!F219,FIND("-",[1]Sheet1!F219)+1,FIND(")",[1]Sheet1!F219)-FIND("-",[1]Sheet1!F219)-1)</f>
        <v>济南</v>
      </c>
      <c r="F219" s="2" t="s">
        <v>88</v>
      </c>
      <c r="G219" s="2" t="s">
        <v>32</v>
      </c>
      <c r="H219" s="2" t="s">
        <v>250</v>
      </c>
      <c r="I219" s="2" t="s">
        <v>34</v>
      </c>
      <c r="J219" s="2" t="s">
        <v>56</v>
      </c>
      <c r="K219" s="2" t="s">
        <v>240</v>
      </c>
      <c r="L219" s="2" t="s">
        <v>24</v>
      </c>
      <c r="M219" s="2" t="s">
        <v>71</v>
      </c>
      <c r="N219" s="2" t="s">
        <v>37</v>
      </c>
      <c r="O219" s="2" t="s">
        <v>47</v>
      </c>
      <c r="P219" s="2" t="s">
        <v>39</v>
      </c>
      <c r="Q219" s="2" t="s">
        <v>436</v>
      </c>
    </row>
    <row r="220" spans="1:17">
      <c r="A220" s="2" t="s">
        <v>437</v>
      </c>
      <c r="B220" s="2" t="str">
        <f>[1]Sheet1!M220</f>
        <v>男</v>
      </c>
      <c r="C220" s="3" t="str" cm="1">
        <f t="array" ref="C2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20" s="2" t="str">
        <f>MID([1]Sheet1!F220,FIND("(",[1]Sheet1!F220)+1,FIND("-",[1]Sheet1!F220)-FIND("(",[1]Sheet1!F220)-1)</f>
        <v>广东</v>
      </c>
      <c r="E220" s="2" t="str">
        <f>MID([1]Sheet1!F220,FIND("-",[1]Sheet1!F220)+1,FIND(")",[1]Sheet1!F220)-FIND("-",[1]Sheet1!F220)-1)</f>
        <v>茂名</v>
      </c>
      <c r="F220" s="2" t="s">
        <v>159</v>
      </c>
      <c r="G220" s="2" t="s">
        <v>81</v>
      </c>
      <c r="H220" s="2" t="s">
        <v>20</v>
      </c>
      <c r="I220" s="2" t="s">
        <v>51</v>
      </c>
      <c r="J220" s="2" t="s">
        <v>82</v>
      </c>
      <c r="K220" s="2" t="s">
        <v>117</v>
      </c>
      <c r="L220" s="2" t="s">
        <v>24</v>
      </c>
      <c r="M220" s="2" t="s">
        <v>25</v>
      </c>
      <c r="N220" s="2" t="s">
        <v>46</v>
      </c>
      <c r="O220" s="2" t="s">
        <v>27</v>
      </c>
      <c r="P220" s="2" t="s">
        <v>179</v>
      </c>
      <c r="Q220" s="2" t="s">
        <v>438</v>
      </c>
    </row>
    <row r="221" spans="1:17">
      <c r="A221" s="2" t="s">
        <v>439</v>
      </c>
      <c r="B221" s="2" t="str">
        <f>[1]Sheet1!M221</f>
        <v>女</v>
      </c>
      <c r="C221" s="3" t="str" cm="1">
        <f t="array" ref="C2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21" s="2" t="str">
        <f>MID([1]Sheet1!F221,FIND("(",[1]Sheet1!F221)+1,FIND("-",[1]Sheet1!F221)-FIND("(",[1]Sheet1!F221)-1)</f>
        <v>广西</v>
      </c>
      <c r="E221" s="2" t="str">
        <f>MID([1]Sheet1!F221,FIND("-",[1]Sheet1!F221)+1,FIND(")",[1]Sheet1!F221)-FIND("-",[1]Sheet1!F221)-1)</f>
        <v>南宁</v>
      </c>
      <c r="F221" s="2" t="s">
        <v>31</v>
      </c>
      <c r="G221" s="2" t="s">
        <v>81</v>
      </c>
      <c r="H221" s="2" t="s">
        <v>66</v>
      </c>
      <c r="I221" s="2" t="s">
        <v>51</v>
      </c>
      <c r="J221" s="2" t="s">
        <v>96</v>
      </c>
      <c r="K221" s="2" t="s">
        <v>117</v>
      </c>
      <c r="L221" s="2" t="s">
        <v>24</v>
      </c>
      <c r="M221" s="2" t="s">
        <v>36</v>
      </c>
      <c r="N221" s="2" t="s">
        <v>37</v>
      </c>
      <c r="O221" s="2" t="s">
        <v>47</v>
      </c>
      <c r="P221" s="2" t="s">
        <v>28</v>
      </c>
      <c r="Q221" s="2" t="s">
        <v>183</v>
      </c>
    </row>
    <row r="222" spans="1:17">
      <c r="A222" s="2" t="s">
        <v>440</v>
      </c>
      <c r="B222" s="2" t="str">
        <f>[1]Sheet1!M222</f>
        <v>男</v>
      </c>
      <c r="C222" s="3" t="str" cm="1">
        <f t="array" ref="C2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22" s="2" t="str">
        <f>MID([1]Sheet1!F222,FIND("(",[1]Sheet1!F222)+1,FIND("-",[1]Sheet1!F222)-FIND("(",[1]Sheet1!F222)-1)</f>
        <v>广西</v>
      </c>
      <c r="E222" s="2" t="str">
        <f>MID([1]Sheet1!F222,FIND("-",[1]Sheet1!F222)+1,FIND(")",[1]Sheet1!F222)-FIND("-",[1]Sheet1!F222)-1)</f>
        <v>柳州</v>
      </c>
      <c r="F222" s="2" t="s">
        <v>18</v>
      </c>
      <c r="G222" s="2" t="s">
        <v>162</v>
      </c>
      <c r="H222" s="2" t="s">
        <v>66</v>
      </c>
      <c r="I222" s="2" t="s">
        <v>21</v>
      </c>
      <c r="J222" s="2" t="s">
        <v>82</v>
      </c>
      <c r="K222" s="2" t="s">
        <v>117</v>
      </c>
      <c r="L222" s="2" t="s">
        <v>24</v>
      </c>
      <c r="M222" s="2" t="s">
        <v>143</v>
      </c>
      <c r="N222" s="2" t="s">
        <v>46</v>
      </c>
      <c r="O222" s="2" t="s">
        <v>58</v>
      </c>
      <c r="P222" s="2" t="s">
        <v>86</v>
      </c>
      <c r="Q222" s="2" t="s">
        <v>441</v>
      </c>
    </row>
    <row r="223" spans="1:17">
      <c r="A223" s="2" t="s">
        <v>442</v>
      </c>
      <c r="B223" s="2" t="str">
        <f>[1]Sheet1!M223</f>
        <v>女</v>
      </c>
      <c r="C223" s="3" t="str" cm="1">
        <f t="array" ref="C2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23" s="2" t="str">
        <f>MID([1]Sheet1!F223,FIND("(",[1]Sheet1!F223)+1,FIND("-",[1]Sheet1!F223)-FIND("(",[1]Sheet1!F223)-1)</f>
        <v>山东</v>
      </c>
      <c r="E223" s="2" t="str">
        <f>MID([1]Sheet1!F223,FIND("-",[1]Sheet1!F223)+1,FIND(")",[1]Sheet1!F223)-FIND("-",[1]Sheet1!F223)-1)</f>
        <v>济南</v>
      </c>
      <c r="F223" s="2" t="s">
        <v>42</v>
      </c>
      <c r="G223" s="2" t="s">
        <v>32</v>
      </c>
      <c r="H223" s="2" t="s">
        <v>33</v>
      </c>
      <c r="I223" s="2" t="s">
        <v>21</v>
      </c>
      <c r="J223" s="2" t="s">
        <v>82</v>
      </c>
      <c r="K223" s="2" t="s">
        <v>117</v>
      </c>
      <c r="L223" s="2" t="s">
        <v>83</v>
      </c>
      <c r="M223" s="2" t="s">
        <v>36</v>
      </c>
      <c r="N223" s="2" t="s">
        <v>37</v>
      </c>
      <c r="O223" s="2" t="s">
        <v>47</v>
      </c>
      <c r="P223" s="2" t="s">
        <v>59</v>
      </c>
      <c r="Q223" s="2" t="s">
        <v>183</v>
      </c>
    </row>
    <row r="224" spans="1:17">
      <c r="A224" s="2" t="s">
        <v>443</v>
      </c>
      <c r="B224" s="2" t="str">
        <f>[1]Sheet1!M224</f>
        <v>男</v>
      </c>
      <c r="C224" s="3" t="str" cm="1">
        <f t="array" ref="C2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24" s="2" t="str">
        <f>MID([1]Sheet1!F224,FIND("(",[1]Sheet1!F224)+1,FIND("-",[1]Sheet1!F224)-FIND("(",[1]Sheet1!F224)-1)</f>
        <v>福建</v>
      </c>
      <c r="E224" s="2" t="str">
        <f>MID([1]Sheet1!F224,FIND("-",[1]Sheet1!F224)+1,FIND(")",[1]Sheet1!F224)-FIND("-",[1]Sheet1!F224)-1)</f>
        <v>漳州</v>
      </c>
      <c r="F224" s="2" t="s">
        <v>42</v>
      </c>
      <c r="G224" s="2" t="s">
        <v>81</v>
      </c>
      <c r="H224" s="2" t="s">
        <v>20</v>
      </c>
      <c r="I224" s="2" t="s">
        <v>21</v>
      </c>
      <c r="J224" s="2" t="s">
        <v>56</v>
      </c>
      <c r="K224" s="2" t="s">
        <v>121</v>
      </c>
      <c r="L224" s="2" t="s">
        <v>24</v>
      </c>
      <c r="M224" s="2" t="s">
        <v>78</v>
      </c>
      <c r="N224" s="2" t="s">
        <v>46</v>
      </c>
      <c r="O224" s="2" t="s">
        <v>47</v>
      </c>
      <c r="P224" s="2" t="s">
        <v>63</v>
      </c>
      <c r="Q224" s="2" t="s">
        <v>68</v>
      </c>
    </row>
    <row r="225" spans="1:17">
      <c r="A225" s="2" t="s">
        <v>444</v>
      </c>
      <c r="B225" s="2" t="str">
        <f>[1]Sheet1!M225</f>
        <v>男</v>
      </c>
      <c r="C225" s="3" t="str" cm="1">
        <f t="array" ref="C2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25" s="2" t="str">
        <f>MID([1]Sheet1!F225,FIND("(",[1]Sheet1!F225)+1,FIND("-",[1]Sheet1!F225)-FIND("(",[1]Sheet1!F225)-1)</f>
        <v>福建</v>
      </c>
      <c r="E225" s="2" t="str">
        <f>MID([1]Sheet1!F225,FIND("-",[1]Sheet1!F225)+1,FIND(")",[1]Sheet1!F225)-FIND("-",[1]Sheet1!F225)-1)</f>
        <v>厦门</v>
      </c>
      <c r="F225" s="2" t="s">
        <v>42</v>
      </c>
      <c r="G225" s="2" t="s">
        <v>19</v>
      </c>
      <c r="H225" s="2" t="s">
        <v>66</v>
      </c>
      <c r="I225" s="2" t="s">
        <v>21</v>
      </c>
      <c r="J225" s="2" t="s">
        <v>82</v>
      </c>
      <c r="K225" s="2" t="s">
        <v>117</v>
      </c>
      <c r="L225" s="2" t="s">
        <v>24</v>
      </c>
      <c r="M225" s="2" t="s">
        <v>25</v>
      </c>
      <c r="N225" s="2" t="s">
        <v>105</v>
      </c>
      <c r="O225" s="2" t="s">
        <v>295</v>
      </c>
      <c r="P225" s="2" t="s">
        <v>59</v>
      </c>
      <c r="Q225" s="2" t="s">
        <v>445</v>
      </c>
    </row>
    <row r="226" spans="1:17">
      <c r="A226" s="2" t="s">
        <v>446</v>
      </c>
      <c r="B226" s="2" t="str">
        <f>[1]Sheet1!M226</f>
        <v>男</v>
      </c>
      <c r="C226" s="3" t="str" cm="1">
        <f t="array" ref="C2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26" s="2" t="str">
        <f>MID([1]Sheet1!F226,FIND("(",[1]Sheet1!F226)+1,FIND("-",[1]Sheet1!F226)-FIND("(",[1]Sheet1!F226)-1)</f>
        <v>四川</v>
      </c>
      <c r="E226" s="2" t="str">
        <f>MID([1]Sheet1!F226,FIND("-",[1]Sheet1!F226)+1,FIND(")",[1]Sheet1!F226)-FIND("-",[1]Sheet1!F226)-1)</f>
        <v>成都</v>
      </c>
      <c r="F226" s="2" t="s">
        <v>31</v>
      </c>
      <c r="G226" s="2" t="s">
        <v>19</v>
      </c>
      <c r="H226" s="2" t="s">
        <v>55</v>
      </c>
      <c r="I226" s="2" t="s">
        <v>43</v>
      </c>
      <c r="J226" s="2" t="s">
        <v>96</v>
      </c>
      <c r="K226" s="2" t="s">
        <v>169</v>
      </c>
      <c r="L226" s="2" t="s">
        <v>83</v>
      </c>
      <c r="M226" s="2" t="s">
        <v>36</v>
      </c>
      <c r="N226" s="2" t="s">
        <v>37</v>
      </c>
      <c r="O226" s="2" t="s">
        <v>89</v>
      </c>
      <c r="P226" s="2" t="s">
        <v>39</v>
      </c>
      <c r="Q226" s="2" t="s">
        <v>48</v>
      </c>
    </row>
    <row r="227" spans="1:17">
      <c r="A227" s="2" t="s">
        <v>447</v>
      </c>
      <c r="B227" s="2" t="str">
        <f>[1]Sheet1!M227</f>
        <v>男</v>
      </c>
      <c r="C227" s="3" t="str" cm="1">
        <f t="array" ref="C2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27" s="2" t="str">
        <f>MID([1]Sheet1!F227,FIND("(",[1]Sheet1!F227)+1,FIND("-",[1]Sheet1!F227)-FIND("(",[1]Sheet1!F227)-1)</f>
        <v>四川</v>
      </c>
      <c r="E227" s="2" t="str">
        <f>MID([1]Sheet1!F227,FIND("-",[1]Sheet1!F227)+1,FIND(")",[1]Sheet1!F227)-FIND("-",[1]Sheet1!F227)-1)</f>
        <v>成都</v>
      </c>
      <c r="F227" s="2" t="s">
        <v>42</v>
      </c>
      <c r="G227" s="2" t="s">
        <v>50</v>
      </c>
      <c r="H227" s="2" t="s">
        <v>20</v>
      </c>
      <c r="I227" s="2" t="s">
        <v>120</v>
      </c>
      <c r="J227" s="2" t="s">
        <v>96</v>
      </c>
      <c r="K227" s="2" t="s">
        <v>117</v>
      </c>
      <c r="L227" s="2" t="s">
        <v>24</v>
      </c>
      <c r="M227" s="2" t="s">
        <v>448</v>
      </c>
      <c r="N227" s="2" t="s">
        <v>26</v>
      </c>
      <c r="O227" s="2" t="s">
        <v>97</v>
      </c>
      <c r="P227" s="2" t="s">
        <v>63</v>
      </c>
      <c r="Q227" s="2" t="s">
        <v>172</v>
      </c>
    </row>
    <row r="228" spans="1:17">
      <c r="A228" s="2" t="s">
        <v>449</v>
      </c>
      <c r="B228" s="2" t="str">
        <f>[1]Sheet1!M228</f>
        <v>男</v>
      </c>
      <c r="C228" s="3" t="str" cm="1">
        <f t="array" ref="C2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28" s="2" t="str">
        <f>MID([1]Sheet1!F228,FIND("(",[1]Sheet1!F228)+1,FIND("-",[1]Sheet1!F228)-FIND("(",[1]Sheet1!F228)-1)</f>
        <v>河南</v>
      </c>
      <c r="E228" s="2" t="str">
        <f>MID([1]Sheet1!F228,FIND("-",[1]Sheet1!F228)+1,FIND(")",[1]Sheet1!F228)-FIND("-",[1]Sheet1!F228)-1)</f>
        <v>南阳</v>
      </c>
      <c r="F228" s="2" t="s">
        <v>18</v>
      </c>
      <c r="G228" s="2" t="s">
        <v>81</v>
      </c>
      <c r="H228" s="2" t="s">
        <v>20</v>
      </c>
      <c r="I228" s="2" t="s">
        <v>51</v>
      </c>
      <c r="J228" s="2" t="s">
        <v>77</v>
      </c>
      <c r="K228" s="2" t="s">
        <v>121</v>
      </c>
      <c r="L228" s="2" t="s">
        <v>24</v>
      </c>
      <c r="M228" s="2" t="s">
        <v>111</v>
      </c>
      <c r="N228" s="2" t="s">
        <v>85</v>
      </c>
      <c r="O228" s="2" t="s">
        <v>450</v>
      </c>
      <c r="P228" s="2" t="s">
        <v>218</v>
      </c>
      <c r="Q228" s="2" t="s">
        <v>183</v>
      </c>
    </row>
    <row r="229" spans="1:17">
      <c r="A229" s="2" t="s">
        <v>451</v>
      </c>
      <c r="B229" s="2" t="str">
        <f>[1]Sheet1!M229</f>
        <v>男</v>
      </c>
      <c r="C229" s="3" t="str" cm="1">
        <f t="array" ref="C2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29" s="2" t="str">
        <f>MID([1]Sheet1!F229,FIND("(",[1]Sheet1!F229)+1,FIND("-",[1]Sheet1!F229)-FIND("(",[1]Sheet1!F229)-1)</f>
        <v>四川</v>
      </c>
      <c r="E229" s="2" t="str">
        <f>MID([1]Sheet1!F229,FIND("-",[1]Sheet1!F229)+1,FIND(")",[1]Sheet1!F229)-FIND("-",[1]Sheet1!F229)-1)</f>
        <v>泸州</v>
      </c>
      <c r="F229" s="2" t="s">
        <v>42</v>
      </c>
      <c r="G229" s="2" t="s">
        <v>50</v>
      </c>
      <c r="H229" s="2" t="s">
        <v>66</v>
      </c>
      <c r="I229" s="2" t="s">
        <v>21</v>
      </c>
      <c r="J229" s="2" t="s">
        <v>82</v>
      </c>
      <c r="K229" s="2" t="s">
        <v>117</v>
      </c>
      <c r="L229" s="2" t="s">
        <v>24</v>
      </c>
      <c r="M229" s="2" t="s">
        <v>71</v>
      </c>
      <c r="N229" s="2" t="s">
        <v>37</v>
      </c>
      <c r="O229" s="2" t="s">
        <v>58</v>
      </c>
      <c r="P229" s="2" t="s">
        <v>179</v>
      </c>
      <c r="Q229" s="2" t="s">
        <v>452</v>
      </c>
    </row>
    <row r="230" spans="1:17">
      <c r="A230" s="2" t="s">
        <v>453</v>
      </c>
      <c r="B230" s="2" t="str">
        <f>[1]Sheet1!M230</f>
        <v>男</v>
      </c>
      <c r="C230" s="3" t="str" cm="1">
        <f t="array" ref="C2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30" s="2" t="str">
        <f>MID([1]Sheet1!F230,FIND("(",[1]Sheet1!F230)+1,FIND("-",[1]Sheet1!F230)-FIND("(",[1]Sheet1!F230)-1)</f>
        <v>四川</v>
      </c>
      <c r="E230" s="2" t="str">
        <f>MID([1]Sheet1!F230,FIND("-",[1]Sheet1!F230)+1,FIND(")",[1]Sheet1!F230)-FIND("-",[1]Sheet1!F230)-1)</f>
        <v>广安</v>
      </c>
      <c r="F230" s="2" t="s">
        <v>42</v>
      </c>
      <c r="G230" s="2" t="s">
        <v>19</v>
      </c>
      <c r="H230" s="2" t="s">
        <v>66</v>
      </c>
      <c r="I230" s="2" t="s">
        <v>120</v>
      </c>
      <c r="J230" s="2" t="s">
        <v>96</v>
      </c>
      <c r="K230" s="2" t="s">
        <v>117</v>
      </c>
      <c r="L230" s="2" t="s">
        <v>83</v>
      </c>
      <c r="M230" s="2" t="s">
        <v>36</v>
      </c>
      <c r="N230" s="2" t="s">
        <v>26</v>
      </c>
      <c r="O230" s="2" t="s">
        <v>47</v>
      </c>
      <c r="P230" s="2" t="s">
        <v>39</v>
      </c>
      <c r="Q230" s="2" t="s">
        <v>103</v>
      </c>
    </row>
    <row r="231" spans="1:17">
      <c r="A231" s="2" t="s">
        <v>454</v>
      </c>
      <c r="B231" s="2" t="str">
        <f>[1]Sheet1!M231</f>
        <v>男</v>
      </c>
      <c r="C231" s="3" t="str" cm="1">
        <f t="array" ref="C2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31" s="2" t="str">
        <f>MID([1]Sheet1!F231,FIND("(",[1]Sheet1!F231)+1,FIND("-",[1]Sheet1!F231)-FIND("(",[1]Sheet1!F231)-1)</f>
        <v>北京</v>
      </c>
      <c r="E231" s="2" t="str">
        <f>MID([1]Sheet1!F231,FIND("-",[1]Sheet1!F231)+1,FIND(")",[1]Sheet1!F231)-FIND("-",[1]Sheet1!F231)-1)</f>
        <v>北京</v>
      </c>
      <c r="F231" s="2" t="s">
        <v>159</v>
      </c>
      <c r="G231" s="2" t="s">
        <v>81</v>
      </c>
      <c r="H231" s="2" t="s">
        <v>66</v>
      </c>
      <c r="I231" s="2" t="s">
        <v>51</v>
      </c>
      <c r="J231" s="2" t="s">
        <v>56</v>
      </c>
      <c r="K231" s="2" t="s">
        <v>115</v>
      </c>
      <c r="L231" s="2" t="s">
        <v>24</v>
      </c>
      <c r="M231" s="2" t="s">
        <v>143</v>
      </c>
      <c r="N231" s="2" t="s">
        <v>37</v>
      </c>
      <c r="O231" s="2" t="s">
        <v>47</v>
      </c>
      <c r="P231" s="2" t="s">
        <v>28</v>
      </c>
      <c r="Q231" s="2" t="s">
        <v>267</v>
      </c>
    </row>
    <row r="232" spans="1:17">
      <c r="A232" s="2" t="s">
        <v>455</v>
      </c>
      <c r="B232" s="2" t="str">
        <f>[1]Sheet1!M232</f>
        <v>女</v>
      </c>
      <c r="C232" s="3" t="str" cm="1">
        <f t="array" ref="C2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32" s="2" t="str">
        <f>MID([1]Sheet1!F232,FIND("(",[1]Sheet1!F232)+1,FIND("-",[1]Sheet1!F232)-FIND("(",[1]Sheet1!F232)-1)</f>
        <v>广西</v>
      </c>
      <c r="E232" s="2" t="str">
        <f>MID([1]Sheet1!F232,FIND("-",[1]Sheet1!F232)+1,FIND(")",[1]Sheet1!F232)-FIND("-",[1]Sheet1!F232)-1)</f>
        <v>柳州</v>
      </c>
      <c r="F232" s="2" t="s">
        <v>42</v>
      </c>
      <c r="G232" s="2" t="s">
        <v>50</v>
      </c>
      <c r="H232" s="2" t="s">
        <v>66</v>
      </c>
      <c r="I232" s="2" t="s">
        <v>51</v>
      </c>
      <c r="J232" s="2" t="s">
        <v>56</v>
      </c>
      <c r="K232" s="2" t="s">
        <v>117</v>
      </c>
      <c r="L232" s="2" t="s">
        <v>24</v>
      </c>
      <c r="M232" s="2" t="s">
        <v>100</v>
      </c>
      <c r="N232" s="2" t="s">
        <v>26</v>
      </c>
      <c r="O232" s="2" t="s">
        <v>89</v>
      </c>
      <c r="P232" s="2" t="s">
        <v>59</v>
      </c>
      <c r="Q232" s="2" t="s">
        <v>456</v>
      </c>
    </row>
    <row r="233" spans="1:17">
      <c r="A233" s="2" t="s">
        <v>457</v>
      </c>
      <c r="B233" s="2" t="str">
        <f>[1]Sheet1!M233</f>
        <v>男</v>
      </c>
      <c r="C233" s="3" t="str" cm="1">
        <f t="array" ref="C2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33" s="2" t="str">
        <f>MID([1]Sheet1!F233,FIND("(",[1]Sheet1!F233)+1,FIND("-",[1]Sheet1!F233)-FIND("(",[1]Sheet1!F233)-1)</f>
        <v>广西</v>
      </c>
      <c r="E233" s="2" t="str">
        <f>MID([1]Sheet1!F233,FIND("-",[1]Sheet1!F233)+1,FIND(")",[1]Sheet1!F233)-FIND("-",[1]Sheet1!F233)-1)</f>
        <v>南宁</v>
      </c>
      <c r="F233" s="2" t="s">
        <v>42</v>
      </c>
      <c r="G233" s="2" t="s">
        <v>162</v>
      </c>
      <c r="H233" s="2" t="s">
        <v>55</v>
      </c>
      <c r="I233" s="2" t="s">
        <v>120</v>
      </c>
      <c r="J233" s="2" t="s">
        <v>82</v>
      </c>
      <c r="K233" s="2" t="s">
        <v>240</v>
      </c>
      <c r="L233" s="2" t="s">
        <v>83</v>
      </c>
      <c r="M233" s="2" t="s">
        <v>126</v>
      </c>
      <c r="N233" s="2" t="s">
        <v>37</v>
      </c>
      <c r="O233" s="2" t="s">
        <v>301</v>
      </c>
      <c r="P233" s="2" t="s">
        <v>63</v>
      </c>
      <c r="Q233" s="2" t="s">
        <v>197</v>
      </c>
    </row>
    <row r="234" spans="1:17">
      <c r="A234" s="2" t="s">
        <v>458</v>
      </c>
      <c r="B234" s="2" t="str">
        <f>[1]Sheet1!M234</f>
        <v>男</v>
      </c>
      <c r="C234" s="3" t="str" cm="1">
        <f t="array" ref="C2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34" s="2" t="str">
        <f>MID([1]Sheet1!F234,FIND("(",[1]Sheet1!F234)+1,FIND("-",[1]Sheet1!F234)-FIND("(",[1]Sheet1!F234)-1)</f>
        <v>云南</v>
      </c>
      <c r="E234" s="2" t="str">
        <f>MID([1]Sheet1!F234,FIND("-",[1]Sheet1!F234)+1,FIND(")",[1]Sheet1!F234)-FIND("-",[1]Sheet1!F234)-1)</f>
        <v>大理</v>
      </c>
      <c r="F234" s="2" t="s">
        <v>31</v>
      </c>
      <c r="G234" s="2" t="s">
        <v>32</v>
      </c>
      <c r="H234" s="2" t="s">
        <v>66</v>
      </c>
      <c r="I234" s="2" t="s">
        <v>34</v>
      </c>
      <c r="J234" s="2" t="s">
        <v>82</v>
      </c>
      <c r="K234" s="2" t="s">
        <v>117</v>
      </c>
      <c r="L234" s="2" t="s">
        <v>83</v>
      </c>
      <c r="M234" s="2" t="s">
        <v>459</v>
      </c>
      <c r="N234" s="2" t="s">
        <v>37</v>
      </c>
      <c r="O234" s="2" t="s">
        <v>47</v>
      </c>
      <c r="P234" s="2" t="s">
        <v>86</v>
      </c>
      <c r="Q234" s="2" t="s">
        <v>48</v>
      </c>
    </row>
    <row r="235" spans="1:17">
      <c r="A235" s="2" t="s">
        <v>460</v>
      </c>
      <c r="B235" s="2" t="str">
        <f>[1]Sheet1!M235</f>
        <v>女</v>
      </c>
      <c r="C235" s="3" t="str" cm="1">
        <f t="array" ref="C2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35" s="2" t="str">
        <f>MID([1]Sheet1!F235,FIND("(",[1]Sheet1!F235)+1,FIND("-",[1]Sheet1!F235)-FIND("(",[1]Sheet1!F235)-1)</f>
        <v>广西</v>
      </c>
      <c r="E235" s="2" t="str">
        <f>MID([1]Sheet1!F235,FIND("-",[1]Sheet1!F235)+1,FIND(")",[1]Sheet1!F235)-FIND("-",[1]Sheet1!F235)-1)</f>
        <v>柳州</v>
      </c>
      <c r="F235" s="2" t="s">
        <v>42</v>
      </c>
      <c r="G235" s="2" t="s">
        <v>32</v>
      </c>
      <c r="H235" s="2" t="s">
        <v>66</v>
      </c>
      <c r="I235" s="2" t="s">
        <v>43</v>
      </c>
      <c r="J235" s="2" t="s">
        <v>77</v>
      </c>
      <c r="K235" s="2" t="s">
        <v>121</v>
      </c>
      <c r="L235" s="2" t="s">
        <v>24</v>
      </c>
      <c r="M235" s="2" t="s">
        <v>78</v>
      </c>
      <c r="N235" s="2" t="s">
        <v>85</v>
      </c>
      <c r="O235" s="2" t="s">
        <v>27</v>
      </c>
      <c r="P235" s="2" t="s">
        <v>59</v>
      </c>
      <c r="Q235" s="2" t="s">
        <v>48</v>
      </c>
    </row>
    <row r="236" spans="1:17">
      <c r="A236" s="2" t="s">
        <v>461</v>
      </c>
      <c r="B236" s="2" t="str">
        <f>[1]Sheet1!M236</f>
        <v>女</v>
      </c>
      <c r="C236" s="3" t="str" cm="1">
        <f t="array" ref="C2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36" s="2" t="str">
        <f>MID([1]Sheet1!F236,FIND("(",[1]Sheet1!F236)+1,FIND("-",[1]Sheet1!F236)-FIND("(",[1]Sheet1!F236)-1)</f>
        <v>广东</v>
      </c>
      <c r="E236" s="2" t="str">
        <f>MID([1]Sheet1!F236,FIND("-",[1]Sheet1!F236)+1,FIND(")",[1]Sheet1!F236)-FIND("-",[1]Sheet1!F236)-1)</f>
        <v>深圳</v>
      </c>
      <c r="F236" s="2" t="s">
        <v>42</v>
      </c>
      <c r="G236" s="2" t="s">
        <v>50</v>
      </c>
      <c r="H236" s="2" t="s">
        <v>20</v>
      </c>
      <c r="I236" s="2" t="s">
        <v>120</v>
      </c>
      <c r="J236" s="2" t="s">
        <v>44</v>
      </c>
      <c r="K236" s="2" t="s">
        <v>121</v>
      </c>
      <c r="L236" s="2" t="s">
        <v>83</v>
      </c>
      <c r="M236" s="2" t="s">
        <v>36</v>
      </c>
      <c r="N236" s="2" t="s">
        <v>37</v>
      </c>
      <c r="O236" s="2" t="s">
        <v>47</v>
      </c>
      <c r="P236" s="2" t="s">
        <v>179</v>
      </c>
      <c r="Q236" s="2" t="s">
        <v>150</v>
      </c>
    </row>
    <row r="237" spans="1:17">
      <c r="A237" s="2" t="s">
        <v>462</v>
      </c>
      <c r="B237" s="2" t="str">
        <f>[1]Sheet1!M237</f>
        <v>男</v>
      </c>
      <c r="C237" s="3" t="str" cm="1">
        <f t="array" ref="C2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237" s="2" t="str">
        <f>MID([1]Sheet1!F237,FIND("(",[1]Sheet1!F237)+1,FIND("-",[1]Sheet1!F237)-FIND("(",[1]Sheet1!F237)-1)</f>
        <v>吉林</v>
      </c>
      <c r="E237" s="2" t="str">
        <f>MID([1]Sheet1!F237,FIND("-",[1]Sheet1!F237)+1,FIND(")",[1]Sheet1!F237)-FIND("-",[1]Sheet1!F237)-1)</f>
        <v>长春</v>
      </c>
      <c r="F237" s="2" t="s">
        <v>31</v>
      </c>
      <c r="G237" s="2" t="s">
        <v>50</v>
      </c>
      <c r="H237" s="2" t="s">
        <v>55</v>
      </c>
      <c r="I237" s="2" t="s">
        <v>43</v>
      </c>
      <c r="J237" s="2" t="s">
        <v>56</v>
      </c>
      <c r="K237" s="2" t="s">
        <v>115</v>
      </c>
      <c r="L237" s="2" t="s">
        <v>24</v>
      </c>
      <c r="M237" s="2" t="s">
        <v>36</v>
      </c>
      <c r="N237" s="2" t="s">
        <v>37</v>
      </c>
      <c r="O237" s="2" t="s">
        <v>422</v>
      </c>
      <c r="P237" s="2" t="s">
        <v>28</v>
      </c>
      <c r="Q237" s="2" t="s">
        <v>463</v>
      </c>
    </row>
    <row r="238" spans="1:17">
      <c r="A238" s="2" t="s">
        <v>464</v>
      </c>
      <c r="B238" s="2" t="str">
        <f>[1]Sheet1!M238</f>
        <v>男</v>
      </c>
      <c r="C238" s="3" t="str" cm="1">
        <f t="array" ref="C2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38" s="2" t="str">
        <f>MID([1]Sheet1!F238,FIND("(",[1]Sheet1!F238)+1,FIND("-",[1]Sheet1!F238)-FIND("(",[1]Sheet1!F238)-1)</f>
        <v>河南</v>
      </c>
      <c r="E238" s="2" t="str">
        <f>MID([1]Sheet1!F238,FIND("-",[1]Sheet1!F238)+1,FIND(")",[1]Sheet1!F238)-FIND("-",[1]Sheet1!F238)-1)</f>
        <v>南阳</v>
      </c>
      <c r="F238" s="2" t="s">
        <v>42</v>
      </c>
      <c r="G238" s="2" t="s">
        <v>50</v>
      </c>
      <c r="H238" s="2" t="s">
        <v>55</v>
      </c>
      <c r="I238" s="2" t="s">
        <v>51</v>
      </c>
      <c r="J238" s="2" t="s">
        <v>56</v>
      </c>
      <c r="K238" s="2" t="s">
        <v>169</v>
      </c>
      <c r="L238" s="2" t="s">
        <v>24</v>
      </c>
      <c r="M238" s="2" t="s">
        <v>36</v>
      </c>
      <c r="N238" s="2" t="s">
        <v>37</v>
      </c>
      <c r="O238" s="2" t="s">
        <v>47</v>
      </c>
      <c r="P238" s="2" t="s">
        <v>39</v>
      </c>
      <c r="Q238" s="2" t="s">
        <v>172</v>
      </c>
    </row>
    <row r="239" spans="1:17">
      <c r="A239" s="2" t="s">
        <v>465</v>
      </c>
      <c r="B239" s="2" t="str">
        <f>[1]Sheet1!M239</f>
        <v>男</v>
      </c>
      <c r="C239" s="3" t="str" cm="1">
        <f t="array" ref="C2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39" s="2" t="str">
        <f>MID([1]Sheet1!F239,FIND("(",[1]Sheet1!F239)+1,FIND("-",[1]Sheet1!F239)-FIND("(",[1]Sheet1!F239)-1)</f>
        <v>广东</v>
      </c>
      <c r="E239" s="2" t="str">
        <f>MID([1]Sheet1!F239,FIND("-",[1]Sheet1!F239)+1,FIND(")",[1]Sheet1!F239)-FIND("-",[1]Sheet1!F239)-1)</f>
        <v>汕头</v>
      </c>
      <c r="F239" s="2" t="s">
        <v>18</v>
      </c>
      <c r="G239" s="2" t="s">
        <v>50</v>
      </c>
      <c r="H239" s="2" t="s">
        <v>33</v>
      </c>
      <c r="I239" s="2" t="s">
        <v>51</v>
      </c>
      <c r="J239" s="2" t="s">
        <v>82</v>
      </c>
      <c r="K239" s="2" t="s">
        <v>121</v>
      </c>
      <c r="L239" s="2" t="s">
        <v>83</v>
      </c>
      <c r="M239" s="2" t="s">
        <v>36</v>
      </c>
      <c r="N239" s="2" t="s">
        <v>37</v>
      </c>
      <c r="O239" s="2" t="s">
        <v>47</v>
      </c>
      <c r="P239" s="2" t="s">
        <v>218</v>
      </c>
      <c r="Q239" s="2" t="s">
        <v>40</v>
      </c>
    </row>
    <row r="240" spans="1:17">
      <c r="A240" s="2" t="s">
        <v>466</v>
      </c>
      <c r="B240" s="2" t="str">
        <f>[1]Sheet1!M240</f>
        <v>男</v>
      </c>
      <c r="C240" s="3" t="str" cm="1">
        <f t="array" ref="C2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0" s="2" t="str">
        <f>MID([1]Sheet1!F240,FIND("(",[1]Sheet1!F240)+1,FIND("-",[1]Sheet1!F240)-FIND("(",[1]Sheet1!F240)-1)</f>
        <v>山东</v>
      </c>
      <c r="E240" s="2" t="str">
        <f>MID([1]Sheet1!F240,FIND("-",[1]Sheet1!F240)+1,FIND(")",[1]Sheet1!F240)-FIND("-",[1]Sheet1!F240)-1)</f>
        <v>聊城</v>
      </c>
      <c r="F240" s="2" t="s">
        <v>42</v>
      </c>
      <c r="G240" s="2" t="s">
        <v>50</v>
      </c>
      <c r="H240" s="2" t="s">
        <v>66</v>
      </c>
      <c r="I240" s="2" t="s">
        <v>51</v>
      </c>
      <c r="J240" s="2" t="s">
        <v>56</v>
      </c>
      <c r="K240" s="2" t="s">
        <v>412</v>
      </c>
      <c r="L240" s="2" t="s">
        <v>24</v>
      </c>
      <c r="M240" s="2" t="s">
        <v>111</v>
      </c>
      <c r="N240" s="2" t="s">
        <v>37</v>
      </c>
      <c r="O240" s="2" t="s">
        <v>199</v>
      </c>
      <c r="P240" s="2" t="s">
        <v>63</v>
      </c>
      <c r="Q240" s="2" t="s">
        <v>172</v>
      </c>
    </row>
    <row r="241" spans="1:17">
      <c r="A241" s="2" t="s">
        <v>467</v>
      </c>
      <c r="B241" s="2" t="str">
        <f>[1]Sheet1!M241</f>
        <v>男</v>
      </c>
      <c r="C241" s="3" t="str" cm="1">
        <f t="array" ref="C2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41" s="2" t="str">
        <f>MID([1]Sheet1!F241,FIND("(",[1]Sheet1!F241)+1,FIND("-",[1]Sheet1!F241)-FIND("(",[1]Sheet1!F241)-1)</f>
        <v>浙江</v>
      </c>
      <c r="E241" s="2" t="str">
        <f>MID([1]Sheet1!F241,FIND("-",[1]Sheet1!F241)+1,FIND(")",[1]Sheet1!F241)-FIND("-",[1]Sheet1!F241)-1)</f>
        <v>金华</v>
      </c>
      <c r="F241" s="2" t="s">
        <v>31</v>
      </c>
      <c r="G241" s="2" t="s">
        <v>81</v>
      </c>
      <c r="H241" s="2" t="s">
        <v>33</v>
      </c>
      <c r="I241" s="2" t="s">
        <v>43</v>
      </c>
      <c r="J241" s="2" t="s">
        <v>82</v>
      </c>
      <c r="K241" s="2" t="s">
        <v>130</v>
      </c>
      <c r="L241" s="2" t="s">
        <v>24</v>
      </c>
      <c r="M241" s="2" t="s">
        <v>67</v>
      </c>
      <c r="N241" s="2" t="s">
        <v>37</v>
      </c>
      <c r="O241" s="2" t="s">
        <v>450</v>
      </c>
      <c r="P241" s="2" t="s">
        <v>28</v>
      </c>
      <c r="Q241" s="2" t="s">
        <v>259</v>
      </c>
    </row>
    <row r="242" spans="1:17">
      <c r="A242" s="2" t="s">
        <v>468</v>
      </c>
      <c r="B242" s="2" t="str">
        <f>[1]Sheet1!M242</f>
        <v>男</v>
      </c>
      <c r="C242" s="3" t="str" cm="1">
        <f t="array" ref="C2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242" s="2" t="str">
        <f>MID([1]Sheet1!F242,FIND("(",[1]Sheet1!F242)+1,FIND("-",[1]Sheet1!F242)-FIND("(",[1]Sheet1!F242)-1)</f>
        <v>广西</v>
      </c>
      <c r="E242" s="2" t="str">
        <f>MID([1]Sheet1!F242,FIND("-",[1]Sheet1!F242)+1,FIND(")",[1]Sheet1!F242)-FIND("-",[1]Sheet1!F242)-1)</f>
        <v>钦州</v>
      </c>
      <c r="F242" s="2" t="s">
        <v>42</v>
      </c>
      <c r="G242" s="2" t="s">
        <v>81</v>
      </c>
      <c r="H242" s="2" t="s">
        <v>66</v>
      </c>
      <c r="I242" s="2" t="s">
        <v>120</v>
      </c>
      <c r="J242" s="2" t="s">
        <v>82</v>
      </c>
      <c r="K242" s="2" t="s">
        <v>117</v>
      </c>
      <c r="L242" s="2" t="s">
        <v>24</v>
      </c>
      <c r="M242" s="2" t="s">
        <v>78</v>
      </c>
      <c r="N242" s="2" t="s">
        <v>85</v>
      </c>
      <c r="O242" s="2" t="s">
        <v>47</v>
      </c>
      <c r="P242" s="2" t="s">
        <v>39</v>
      </c>
      <c r="Q242" s="2" t="s">
        <v>160</v>
      </c>
    </row>
    <row r="243" spans="1:17">
      <c r="A243" s="2" t="s">
        <v>469</v>
      </c>
      <c r="B243" s="2" t="str">
        <f>[1]Sheet1!M243</f>
        <v>女</v>
      </c>
      <c r="C243" s="3" t="str" cm="1">
        <f t="array" ref="C2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3" s="2" t="str">
        <f>MID([1]Sheet1!F243,FIND("(",[1]Sheet1!F243)+1,FIND("-",[1]Sheet1!F243)-FIND("(",[1]Sheet1!F243)-1)</f>
        <v>河南</v>
      </c>
      <c r="E243" s="2" t="str">
        <f>MID([1]Sheet1!F243,FIND("-",[1]Sheet1!F243)+1,FIND(")",[1]Sheet1!F243)-FIND("-",[1]Sheet1!F243)-1)</f>
        <v>商丘</v>
      </c>
      <c r="F243" s="2" t="s">
        <v>70</v>
      </c>
      <c r="G243" s="2" t="s">
        <v>32</v>
      </c>
      <c r="H243" s="2" t="s">
        <v>20</v>
      </c>
      <c r="I243" s="2" t="s">
        <v>21</v>
      </c>
      <c r="J243" s="2" t="s">
        <v>77</v>
      </c>
      <c r="K243" s="2" t="s">
        <v>470</v>
      </c>
      <c r="L243" s="2" t="s">
        <v>83</v>
      </c>
      <c r="M243" s="2" t="s">
        <v>126</v>
      </c>
      <c r="N243" s="2" t="s">
        <v>37</v>
      </c>
      <c r="O243" s="2" t="s">
        <v>47</v>
      </c>
      <c r="P243" s="2" t="s">
        <v>39</v>
      </c>
      <c r="Q243" s="2" t="s">
        <v>339</v>
      </c>
    </row>
    <row r="244" spans="1:17">
      <c r="A244" s="2" t="s">
        <v>471</v>
      </c>
      <c r="B244" s="2" t="str">
        <f>[1]Sheet1!M244</f>
        <v>男</v>
      </c>
      <c r="C244" s="3" t="str" cm="1">
        <f t="array" ref="C2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44" s="2" t="str">
        <f>MID([1]Sheet1!F244,FIND("(",[1]Sheet1!F244)+1,FIND("-",[1]Sheet1!F244)-FIND("(",[1]Sheet1!F244)-1)</f>
        <v>江苏</v>
      </c>
      <c r="E244" s="2" t="str">
        <f>MID([1]Sheet1!F244,FIND("-",[1]Sheet1!F244)+1,FIND(")",[1]Sheet1!F244)-FIND("-",[1]Sheet1!F244)-1)</f>
        <v>连云港</v>
      </c>
      <c r="F244" s="2" t="s">
        <v>31</v>
      </c>
      <c r="G244" s="2" t="s">
        <v>32</v>
      </c>
      <c r="H244" s="2" t="s">
        <v>66</v>
      </c>
      <c r="I244" s="2" t="s">
        <v>43</v>
      </c>
      <c r="J244" s="2" t="s">
        <v>56</v>
      </c>
      <c r="K244" s="2" t="s">
        <v>117</v>
      </c>
      <c r="L244" s="2" t="s">
        <v>24</v>
      </c>
      <c r="M244" s="2" t="s">
        <v>78</v>
      </c>
      <c r="N244" s="2" t="s">
        <v>37</v>
      </c>
      <c r="O244" s="2" t="s">
        <v>47</v>
      </c>
      <c r="P244" s="2" t="s">
        <v>86</v>
      </c>
      <c r="Q244" s="2" t="s">
        <v>172</v>
      </c>
    </row>
    <row r="245" spans="1:17">
      <c r="A245" s="2" t="s">
        <v>472</v>
      </c>
      <c r="B245" s="2" t="str">
        <f>[1]Sheet1!M245</f>
        <v>女</v>
      </c>
      <c r="C245" s="3" t="str" cm="1">
        <f t="array" ref="C2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5" s="2" t="str">
        <f>MID([1]Sheet1!F245,FIND("(",[1]Sheet1!F245)+1,FIND("-",[1]Sheet1!F245)-FIND("(",[1]Sheet1!F245)-1)</f>
        <v>河南</v>
      </c>
      <c r="E245" s="2" t="str">
        <f>MID([1]Sheet1!F245,FIND("-",[1]Sheet1!F245)+1,FIND(")",[1]Sheet1!F245)-FIND("-",[1]Sheet1!F245)-1)</f>
        <v>郑州</v>
      </c>
      <c r="F245" s="2" t="s">
        <v>42</v>
      </c>
      <c r="G245" s="2" t="s">
        <v>50</v>
      </c>
      <c r="H245" s="2" t="s">
        <v>66</v>
      </c>
      <c r="I245" s="2" t="s">
        <v>21</v>
      </c>
      <c r="J245" s="2" t="s">
        <v>82</v>
      </c>
      <c r="K245" s="2" t="s">
        <v>117</v>
      </c>
      <c r="L245" s="2" t="s">
        <v>24</v>
      </c>
      <c r="M245" s="2" t="s">
        <v>36</v>
      </c>
      <c r="N245" s="2" t="s">
        <v>26</v>
      </c>
      <c r="O245" s="2" t="s">
        <v>27</v>
      </c>
      <c r="P245" s="2" t="s">
        <v>63</v>
      </c>
      <c r="Q245" s="2" t="s">
        <v>183</v>
      </c>
    </row>
    <row r="246" spans="1:17">
      <c r="A246" s="2" t="s">
        <v>473</v>
      </c>
      <c r="B246" s="2" t="str">
        <f>[1]Sheet1!M246</f>
        <v>女</v>
      </c>
      <c r="C246" s="3" t="str" cm="1">
        <f t="array" ref="C2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6" s="2" t="str">
        <f>MID([1]Sheet1!F246,FIND("(",[1]Sheet1!F246)+1,FIND("-",[1]Sheet1!F246)-FIND("(",[1]Sheet1!F246)-1)</f>
        <v>河南</v>
      </c>
      <c r="E246" s="2" t="str">
        <f>MID([1]Sheet1!F246,FIND("-",[1]Sheet1!F246)+1,FIND(")",[1]Sheet1!F246)-FIND("-",[1]Sheet1!F246)-1)</f>
        <v>郑州</v>
      </c>
      <c r="F246" s="2" t="s">
        <v>70</v>
      </c>
      <c r="G246" s="2" t="s">
        <v>162</v>
      </c>
      <c r="H246" s="2" t="s">
        <v>20</v>
      </c>
      <c r="I246" s="2" t="s">
        <v>51</v>
      </c>
      <c r="J246" s="2" t="s">
        <v>82</v>
      </c>
      <c r="K246" s="2" t="s">
        <v>130</v>
      </c>
      <c r="L246" s="2" t="s">
        <v>24</v>
      </c>
      <c r="M246" s="2" t="s">
        <v>36</v>
      </c>
      <c r="N246" s="2" t="s">
        <v>85</v>
      </c>
      <c r="O246" s="2" t="s">
        <v>89</v>
      </c>
      <c r="P246" s="2" t="s">
        <v>39</v>
      </c>
      <c r="Q246" s="2" t="s">
        <v>94</v>
      </c>
    </row>
    <row r="247" spans="1:17">
      <c r="A247" s="2" t="s">
        <v>474</v>
      </c>
      <c r="B247" s="2" t="str">
        <f>[1]Sheet1!M247</f>
        <v>男</v>
      </c>
      <c r="C247" s="3" t="str" cm="1">
        <f t="array" ref="C2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7" s="2" t="str">
        <f>MID([1]Sheet1!F247,FIND("(",[1]Sheet1!F247)+1,FIND("-",[1]Sheet1!F247)-FIND("(",[1]Sheet1!F247)-1)</f>
        <v>山东</v>
      </c>
      <c r="E247" s="2" t="str">
        <f>MID([1]Sheet1!F247,FIND("-",[1]Sheet1!F247)+1,FIND(")",[1]Sheet1!F247)-FIND("-",[1]Sheet1!F247)-1)</f>
        <v>济南</v>
      </c>
      <c r="F247" s="2" t="s">
        <v>70</v>
      </c>
      <c r="G247" s="2" t="s">
        <v>114</v>
      </c>
      <c r="H247" s="2" t="s">
        <v>66</v>
      </c>
      <c r="I247" s="2" t="s">
        <v>21</v>
      </c>
      <c r="J247" s="2" t="s">
        <v>35</v>
      </c>
      <c r="K247" s="2" t="s">
        <v>397</v>
      </c>
      <c r="L247" s="2" t="s">
        <v>83</v>
      </c>
      <c r="M247" s="2" t="s">
        <v>84</v>
      </c>
      <c r="N247" s="2" t="s">
        <v>37</v>
      </c>
      <c r="O247" s="2" t="s">
        <v>47</v>
      </c>
      <c r="P247" s="2" t="s">
        <v>59</v>
      </c>
      <c r="Q247" s="2" t="s">
        <v>400</v>
      </c>
    </row>
    <row r="248" spans="1:17">
      <c r="A248" s="2" t="s">
        <v>475</v>
      </c>
      <c r="B248" s="2" t="str">
        <f>[1]Sheet1!M248</f>
        <v>男</v>
      </c>
      <c r="C248" s="3" t="str" cm="1">
        <f t="array" ref="C2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8" s="2" t="str">
        <f>MID([1]Sheet1!F248,FIND("(",[1]Sheet1!F248)+1,FIND("-",[1]Sheet1!F248)-FIND("(",[1]Sheet1!F248)-1)</f>
        <v>山东</v>
      </c>
      <c r="E248" s="2" t="str">
        <f>MID([1]Sheet1!F248,FIND("-",[1]Sheet1!F248)+1,FIND(")",[1]Sheet1!F248)-FIND("-",[1]Sheet1!F248)-1)</f>
        <v>聊城</v>
      </c>
      <c r="F248" s="2" t="s">
        <v>18</v>
      </c>
      <c r="G248" s="2" t="s">
        <v>32</v>
      </c>
      <c r="H248" s="2" t="s">
        <v>66</v>
      </c>
      <c r="I248" s="2" t="s">
        <v>51</v>
      </c>
      <c r="J248" s="2" t="s">
        <v>56</v>
      </c>
      <c r="K248" s="2" t="s">
        <v>304</v>
      </c>
      <c r="L248" s="2" t="s">
        <v>24</v>
      </c>
      <c r="M248" s="2" t="s">
        <v>36</v>
      </c>
      <c r="N248" s="2" t="s">
        <v>37</v>
      </c>
      <c r="O248" s="2" t="s">
        <v>27</v>
      </c>
      <c r="P248" s="2" t="s">
        <v>28</v>
      </c>
      <c r="Q248" s="2" t="s">
        <v>476</v>
      </c>
    </row>
    <row r="249" spans="1:17">
      <c r="A249" s="2" t="s">
        <v>477</v>
      </c>
      <c r="B249" s="2" t="str">
        <f>[1]Sheet1!M249</f>
        <v>男</v>
      </c>
      <c r="C249" s="3" t="str" cm="1">
        <f t="array" ref="C2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49" s="2" t="str">
        <f>MID([1]Sheet1!F249,FIND("(",[1]Sheet1!F249)+1,FIND("-",[1]Sheet1!F249)-FIND("(",[1]Sheet1!F249)-1)</f>
        <v>山东</v>
      </c>
      <c r="E249" s="2" t="str">
        <f>MID([1]Sheet1!F249,FIND("-",[1]Sheet1!F249)+1,FIND(")",[1]Sheet1!F249)-FIND("-",[1]Sheet1!F249)-1)</f>
        <v>青岛</v>
      </c>
      <c r="F249" s="2" t="s">
        <v>31</v>
      </c>
      <c r="G249" s="2" t="s">
        <v>81</v>
      </c>
      <c r="H249" s="2" t="s">
        <v>55</v>
      </c>
      <c r="I249" s="2" t="s">
        <v>73</v>
      </c>
      <c r="J249" s="2" t="s">
        <v>82</v>
      </c>
      <c r="K249" s="2" t="s">
        <v>115</v>
      </c>
      <c r="L249" s="2" t="s">
        <v>24</v>
      </c>
      <c r="M249" s="2" t="s">
        <v>36</v>
      </c>
      <c r="N249" s="2" t="s">
        <v>26</v>
      </c>
      <c r="O249" s="2" t="s">
        <v>478</v>
      </c>
      <c r="P249" s="2" t="s">
        <v>39</v>
      </c>
      <c r="Q249" s="2" t="s">
        <v>479</v>
      </c>
    </row>
    <row r="250" spans="1:17">
      <c r="A250" s="2" t="s">
        <v>480</v>
      </c>
      <c r="B250" s="2" t="str">
        <f>[1]Sheet1!M250</f>
        <v>男</v>
      </c>
      <c r="C250" s="3" t="str" cm="1">
        <f t="array" ref="C2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50" s="2" t="str">
        <f>MID([1]Sheet1!F250,FIND("(",[1]Sheet1!F250)+1,FIND("-",[1]Sheet1!F250)-FIND("(",[1]Sheet1!F250)-1)</f>
        <v>四川</v>
      </c>
      <c r="E250" s="2" t="str">
        <f>MID([1]Sheet1!F250,FIND("-",[1]Sheet1!F250)+1,FIND(")",[1]Sheet1!F250)-FIND("-",[1]Sheet1!F250)-1)</f>
        <v>宜宾</v>
      </c>
      <c r="F250" s="2" t="s">
        <v>88</v>
      </c>
      <c r="G250" s="2" t="s">
        <v>81</v>
      </c>
      <c r="H250" s="2" t="s">
        <v>33</v>
      </c>
      <c r="I250" s="2" t="s">
        <v>120</v>
      </c>
      <c r="J250" s="2" t="s">
        <v>82</v>
      </c>
      <c r="K250" s="2" t="s">
        <v>240</v>
      </c>
      <c r="L250" s="2" t="s">
        <v>24</v>
      </c>
      <c r="M250" s="2" t="s">
        <v>67</v>
      </c>
      <c r="N250" s="2" t="s">
        <v>26</v>
      </c>
      <c r="O250" s="2" t="s">
        <v>58</v>
      </c>
      <c r="P250" s="2" t="s">
        <v>63</v>
      </c>
      <c r="Q250" s="2" t="s">
        <v>481</v>
      </c>
    </row>
    <row r="251" spans="1:17">
      <c r="A251" s="2" t="s">
        <v>482</v>
      </c>
      <c r="B251" s="2" t="str">
        <f>[1]Sheet1!M251</f>
        <v>男</v>
      </c>
      <c r="C251" s="3" t="str" cm="1">
        <f t="array" ref="C2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51" s="2" t="str">
        <f>MID([1]Sheet1!F251,FIND("(",[1]Sheet1!F251)+1,FIND("-",[1]Sheet1!F251)-FIND("(",[1]Sheet1!F251)-1)</f>
        <v>山东</v>
      </c>
      <c r="E251" s="2" t="str">
        <f>MID([1]Sheet1!F251,FIND("-",[1]Sheet1!F251)+1,FIND(")",[1]Sheet1!F251)-FIND("-",[1]Sheet1!F251)-1)</f>
        <v>东营</v>
      </c>
      <c r="F251" s="2" t="s">
        <v>159</v>
      </c>
      <c r="G251" s="2" t="s">
        <v>50</v>
      </c>
      <c r="H251" s="2" t="s">
        <v>66</v>
      </c>
      <c r="I251" s="2" t="s">
        <v>51</v>
      </c>
      <c r="J251" s="2" t="s">
        <v>96</v>
      </c>
      <c r="K251" s="2" t="s">
        <v>121</v>
      </c>
      <c r="L251" s="2" t="s">
        <v>24</v>
      </c>
      <c r="M251" s="2" t="s">
        <v>36</v>
      </c>
      <c r="N251" s="2" t="s">
        <v>37</v>
      </c>
      <c r="O251" s="2" t="s">
        <v>47</v>
      </c>
      <c r="P251" s="2" t="s">
        <v>63</v>
      </c>
      <c r="Q251" s="2" t="s">
        <v>195</v>
      </c>
    </row>
    <row r="252" spans="1:17">
      <c r="A252" s="2" t="s">
        <v>483</v>
      </c>
      <c r="B252" s="2" t="str">
        <f>[1]Sheet1!M252</f>
        <v>男</v>
      </c>
      <c r="C252" s="3" t="str" cm="1">
        <f t="array" ref="C2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52" s="2" t="str">
        <f>MID([1]Sheet1!F252,FIND("(",[1]Sheet1!F252)+1,FIND("-",[1]Sheet1!F252)-FIND("(",[1]Sheet1!F252)-1)</f>
        <v>江苏</v>
      </c>
      <c r="E252" s="2" t="str">
        <f>MID([1]Sheet1!F252,FIND("-",[1]Sheet1!F252)+1,FIND(")",[1]Sheet1!F252)-FIND("-",[1]Sheet1!F252)-1)</f>
        <v>徐州</v>
      </c>
      <c r="F252" s="2" t="s">
        <v>88</v>
      </c>
      <c r="G252" s="2" t="s">
        <v>81</v>
      </c>
      <c r="H252" s="2" t="s">
        <v>20</v>
      </c>
      <c r="I252" s="2" t="s">
        <v>51</v>
      </c>
      <c r="J252" s="2" t="s">
        <v>22</v>
      </c>
      <c r="K252" s="2" t="s">
        <v>117</v>
      </c>
      <c r="L252" s="2" t="s">
        <v>24</v>
      </c>
      <c r="M252" s="2" t="s">
        <v>143</v>
      </c>
      <c r="N252" s="2" t="s">
        <v>46</v>
      </c>
      <c r="O252" s="2" t="s">
        <v>47</v>
      </c>
      <c r="P252" s="2" t="s">
        <v>63</v>
      </c>
      <c r="Q252" s="2" t="s">
        <v>259</v>
      </c>
    </row>
    <row r="253" spans="1:17">
      <c r="A253" s="2" t="s">
        <v>484</v>
      </c>
      <c r="B253" s="2" t="str">
        <f>[1]Sheet1!M253</f>
        <v>男</v>
      </c>
      <c r="C253" s="3" t="str" cm="1">
        <f t="array" ref="C2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53" s="2" t="str">
        <f>MID([1]Sheet1!F253,FIND("(",[1]Sheet1!F253)+1,FIND("-",[1]Sheet1!F253)-FIND("(",[1]Sheet1!F253)-1)</f>
        <v>浙江</v>
      </c>
      <c r="E253" s="2" t="str">
        <f>MID([1]Sheet1!F253,FIND("-",[1]Sheet1!F253)+1,FIND(")",[1]Sheet1!F253)-FIND("-",[1]Sheet1!F253)-1)</f>
        <v>金华</v>
      </c>
      <c r="F253" s="2" t="s">
        <v>88</v>
      </c>
      <c r="G253" s="2" t="s">
        <v>81</v>
      </c>
      <c r="H253" s="2" t="s">
        <v>66</v>
      </c>
      <c r="I253" s="2" t="s">
        <v>51</v>
      </c>
      <c r="J253" s="2" t="s">
        <v>77</v>
      </c>
      <c r="K253" s="2" t="s">
        <v>121</v>
      </c>
      <c r="L253" s="2" t="s">
        <v>24</v>
      </c>
      <c r="M253" s="2" t="s">
        <v>57</v>
      </c>
      <c r="N253" s="2" t="s">
        <v>85</v>
      </c>
      <c r="O253" s="2" t="s">
        <v>27</v>
      </c>
      <c r="P253" s="2" t="s">
        <v>63</v>
      </c>
      <c r="Q253" s="2" t="s">
        <v>400</v>
      </c>
    </row>
    <row r="254" spans="1:17">
      <c r="A254" s="2" t="s">
        <v>485</v>
      </c>
      <c r="B254" s="2" t="str">
        <f>[1]Sheet1!M254</f>
        <v>男</v>
      </c>
      <c r="C254" s="3" t="str" cm="1">
        <f t="array" ref="C2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54" s="2" t="str">
        <f>MID([1]Sheet1!F254,FIND("(",[1]Sheet1!F254)+1,FIND("-",[1]Sheet1!F254)-FIND("(",[1]Sheet1!F254)-1)</f>
        <v>山东</v>
      </c>
      <c r="E254" s="2" t="str">
        <f>MID([1]Sheet1!F254,FIND("-",[1]Sheet1!F254)+1,FIND(")",[1]Sheet1!F254)-FIND("-",[1]Sheet1!F254)-1)</f>
        <v>菏泽</v>
      </c>
      <c r="F254" s="2" t="s">
        <v>42</v>
      </c>
      <c r="G254" s="2" t="s">
        <v>19</v>
      </c>
      <c r="H254" s="2" t="s">
        <v>33</v>
      </c>
      <c r="I254" s="2" t="s">
        <v>21</v>
      </c>
      <c r="J254" s="2" t="s">
        <v>82</v>
      </c>
      <c r="K254" s="2" t="s">
        <v>121</v>
      </c>
      <c r="L254" s="2" t="s">
        <v>83</v>
      </c>
      <c r="M254" s="2" t="s">
        <v>143</v>
      </c>
      <c r="N254" s="2" t="s">
        <v>26</v>
      </c>
      <c r="O254" s="2" t="s">
        <v>424</v>
      </c>
      <c r="P254" s="2" t="s">
        <v>175</v>
      </c>
      <c r="Q254" s="2" t="s">
        <v>259</v>
      </c>
    </row>
    <row r="255" spans="1:17">
      <c r="A255" s="2" t="s">
        <v>486</v>
      </c>
      <c r="B255" s="2" t="str">
        <f>[1]Sheet1!M255</f>
        <v>男</v>
      </c>
      <c r="C255" s="3" t="str" cm="1">
        <f t="array" ref="C2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255" s="2" t="str">
        <f>MID([1]Sheet1!F255,FIND("(",[1]Sheet1!F255)+1,FIND("-",[1]Sheet1!F255)-FIND("(",[1]Sheet1!F255)-1)</f>
        <v>辽宁</v>
      </c>
      <c r="E255" s="2" t="str">
        <f>MID([1]Sheet1!F255,FIND("-",[1]Sheet1!F255)+1,FIND(")",[1]Sheet1!F255)-FIND("-",[1]Sheet1!F255)-1)</f>
        <v>大连</v>
      </c>
      <c r="F255" s="2" t="s">
        <v>70</v>
      </c>
      <c r="G255" s="2" t="s">
        <v>19</v>
      </c>
      <c r="H255" s="2" t="s">
        <v>66</v>
      </c>
      <c r="I255" s="2" t="s">
        <v>51</v>
      </c>
      <c r="J255" s="2" t="s">
        <v>82</v>
      </c>
      <c r="K255" s="2" t="s">
        <v>130</v>
      </c>
      <c r="L255" s="2" t="s">
        <v>83</v>
      </c>
      <c r="M255" s="2" t="s">
        <v>36</v>
      </c>
      <c r="N255" s="2" t="s">
        <v>37</v>
      </c>
      <c r="O255" s="2" t="s">
        <v>89</v>
      </c>
      <c r="P255" s="2" t="s">
        <v>39</v>
      </c>
      <c r="Q255" s="2" t="s">
        <v>487</v>
      </c>
    </row>
    <row r="256" spans="1:17">
      <c r="A256" s="2" t="s">
        <v>403</v>
      </c>
      <c r="B256" s="2" t="str">
        <f>[1]Sheet1!M256</f>
        <v>女</v>
      </c>
      <c r="C256" s="3" t="str" cm="1">
        <f t="array" ref="C2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56" s="2" t="str">
        <f>MID([1]Sheet1!F256,FIND("(",[1]Sheet1!F256)+1,FIND("-",[1]Sheet1!F256)-FIND("(",[1]Sheet1!F256)-1)</f>
        <v>江苏</v>
      </c>
      <c r="E256" s="2" t="str">
        <f>MID([1]Sheet1!F256,FIND("-",[1]Sheet1!F256)+1,FIND(")",[1]Sheet1!F256)-FIND("-",[1]Sheet1!F256)-1)</f>
        <v>徐州</v>
      </c>
      <c r="F256" s="2" t="s">
        <v>18</v>
      </c>
      <c r="G256" s="2" t="s">
        <v>32</v>
      </c>
      <c r="H256" s="2" t="s">
        <v>66</v>
      </c>
      <c r="I256" s="2" t="s">
        <v>51</v>
      </c>
      <c r="J256" s="2" t="s">
        <v>56</v>
      </c>
      <c r="K256" s="2" t="s">
        <v>240</v>
      </c>
      <c r="L256" s="2" t="s">
        <v>83</v>
      </c>
      <c r="M256" s="2" t="s">
        <v>78</v>
      </c>
      <c r="N256" s="2" t="s">
        <v>37</v>
      </c>
      <c r="O256" s="2" t="s">
        <v>488</v>
      </c>
      <c r="P256" s="2" t="s">
        <v>39</v>
      </c>
      <c r="Q256" s="2" t="s">
        <v>489</v>
      </c>
    </row>
    <row r="257" spans="1:17">
      <c r="A257" s="2" t="s">
        <v>423</v>
      </c>
      <c r="B257" s="2" t="str">
        <f>[1]Sheet1!M257</f>
        <v>男</v>
      </c>
      <c r="C257" s="3" t="str" cm="1">
        <f t="array" ref="C2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57" s="2" t="str">
        <f>MID([1]Sheet1!F257,FIND("(",[1]Sheet1!F257)+1,FIND("-",[1]Sheet1!F257)-FIND("(",[1]Sheet1!F257)-1)</f>
        <v>江苏</v>
      </c>
      <c r="E257" s="2" t="str">
        <f>MID([1]Sheet1!F257,FIND("-",[1]Sheet1!F257)+1,FIND(")",[1]Sheet1!F257)-FIND("-",[1]Sheet1!F257)-1)</f>
        <v>徐州</v>
      </c>
      <c r="F257" s="2" t="s">
        <v>42</v>
      </c>
      <c r="G257" s="2" t="s">
        <v>19</v>
      </c>
      <c r="H257" s="2" t="s">
        <v>20</v>
      </c>
      <c r="I257" s="2" t="s">
        <v>21</v>
      </c>
      <c r="J257" s="2" t="s">
        <v>77</v>
      </c>
      <c r="K257" s="2" t="s">
        <v>121</v>
      </c>
      <c r="L257" s="2" t="s">
        <v>24</v>
      </c>
      <c r="M257" s="2" t="s">
        <v>36</v>
      </c>
      <c r="N257" s="2" t="s">
        <v>37</v>
      </c>
      <c r="O257" s="2" t="s">
        <v>490</v>
      </c>
      <c r="P257" s="2" t="s">
        <v>175</v>
      </c>
      <c r="Q257" s="2" t="s">
        <v>29</v>
      </c>
    </row>
    <row r="258" spans="1:17">
      <c r="A258" s="2" t="s">
        <v>491</v>
      </c>
      <c r="B258" s="2" t="str">
        <f>[1]Sheet1!M258</f>
        <v>男</v>
      </c>
      <c r="C258" s="3" t="str" cm="1">
        <f t="array" ref="C2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58" s="2" t="str">
        <f>MID([1]Sheet1!F258,FIND("(",[1]Sheet1!F258)+1,FIND("-",[1]Sheet1!F258)-FIND("(",[1]Sheet1!F258)-1)</f>
        <v>青海</v>
      </c>
      <c r="E258" s="2" t="str">
        <f>MID([1]Sheet1!F258,FIND("-",[1]Sheet1!F258)+1,FIND(")",[1]Sheet1!F258)-FIND("-",[1]Sheet1!F258)-1)</f>
        <v>西宁</v>
      </c>
      <c r="F258" s="2" t="s">
        <v>42</v>
      </c>
      <c r="G258" s="2" t="s">
        <v>50</v>
      </c>
      <c r="H258" s="2" t="s">
        <v>20</v>
      </c>
      <c r="I258" s="2" t="s">
        <v>21</v>
      </c>
      <c r="J258" s="2" t="s">
        <v>22</v>
      </c>
      <c r="K258" s="2" t="s">
        <v>169</v>
      </c>
      <c r="L258" s="2" t="s">
        <v>83</v>
      </c>
      <c r="M258" s="2" t="s">
        <v>25</v>
      </c>
      <c r="N258" s="2" t="s">
        <v>37</v>
      </c>
      <c r="O258" s="2" t="s">
        <v>422</v>
      </c>
      <c r="P258" s="2" t="s">
        <v>59</v>
      </c>
      <c r="Q258" s="2" t="s">
        <v>133</v>
      </c>
    </row>
    <row r="259" spans="1:17">
      <c r="A259" s="2" t="s">
        <v>492</v>
      </c>
      <c r="B259" s="2" t="str">
        <f>[1]Sheet1!M259</f>
        <v>男</v>
      </c>
      <c r="C259" s="3" t="str" cm="1">
        <f t="array" ref="C2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59" s="2" t="str">
        <f>MID([1]Sheet1!F259,FIND("(",[1]Sheet1!F259)+1,FIND("-",[1]Sheet1!F259)-FIND("(",[1]Sheet1!F259)-1)</f>
        <v>贵州</v>
      </c>
      <c r="E259" s="2" t="str">
        <f>MID([1]Sheet1!F259,FIND("-",[1]Sheet1!F259)+1,FIND(")",[1]Sheet1!F259)-FIND("-",[1]Sheet1!F259)-1)</f>
        <v>贵阳</v>
      </c>
      <c r="F259" s="2" t="s">
        <v>31</v>
      </c>
      <c r="G259" s="2" t="s">
        <v>81</v>
      </c>
      <c r="H259" s="2" t="s">
        <v>20</v>
      </c>
      <c r="I259" s="2" t="s">
        <v>51</v>
      </c>
      <c r="J259" s="2" t="s">
        <v>56</v>
      </c>
      <c r="K259" s="2" t="s">
        <v>117</v>
      </c>
      <c r="L259" s="2" t="s">
        <v>24</v>
      </c>
      <c r="M259" s="2" t="s">
        <v>143</v>
      </c>
      <c r="N259" s="2" t="s">
        <v>26</v>
      </c>
      <c r="O259" s="2" t="s">
        <v>47</v>
      </c>
      <c r="P259" s="2" t="s">
        <v>28</v>
      </c>
      <c r="Q259" s="2" t="s">
        <v>493</v>
      </c>
    </row>
    <row r="260" spans="1:17">
      <c r="A260" s="2" t="s">
        <v>494</v>
      </c>
      <c r="B260" s="2" t="str">
        <f>[1]Sheet1!M260</f>
        <v>女</v>
      </c>
      <c r="C260" s="3" t="str" cm="1">
        <f t="array" ref="C2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60" s="2" t="str">
        <f>MID([1]Sheet1!F260,FIND("(",[1]Sheet1!F260)+1,FIND("-",[1]Sheet1!F260)-FIND("(",[1]Sheet1!F260)-1)</f>
        <v>陕西</v>
      </c>
      <c r="E260" s="2" t="str">
        <f>MID([1]Sheet1!F260,FIND("-",[1]Sheet1!F260)+1,FIND(")",[1]Sheet1!F260)-FIND("-",[1]Sheet1!F260)-1)</f>
        <v>渭南</v>
      </c>
      <c r="F260" s="2" t="s">
        <v>70</v>
      </c>
      <c r="G260" s="2" t="s">
        <v>81</v>
      </c>
      <c r="H260" s="2" t="s">
        <v>20</v>
      </c>
      <c r="I260" s="2" t="s">
        <v>51</v>
      </c>
      <c r="J260" s="2" t="s">
        <v>82</v>
      </c>
      <c r="K260" s="2" t="s">
        <v>495</v>
      </c>
      <c r="L260" s="2" t="s">
        <v>83</v>
      </c>
      <c r="M260" s="2" t="s">
        <v>92</v>
      </c>
      <c r="N260" s="2" t="s">
        <v>37</v>
      </c>
      <c r="O260" s="2" t="s">
        <v>47</v>
      </c>
      <c r="P260" s="2" t="s">
        <v>28</v>
      </c>
      <c r="Q260" s="2" t="s">
        <v>75</v>
      </c>
    </row>
    <row r="261" spans="1:17">
      <c r="A261" s="2" t="s">
        <v>496</v>
      </c>
      <c r="B261" s="2" t="str">
        <f>[1]Sheet1!M261</f>
        <v>男</v>
      </c>
      <c r="C261" s="3" t="str" cm="1">
        <f t="array" ref="C2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61" s="2" t="str">
        <f>MID([1]Sheet1!F261,FIND("(",[1]Sheet1!F261)+1,FIND("-",[1]Sheet1!F261)-FIND("(",[1]Sheet1!F261)-1)</f>
        <v>宁夏</v>
      </c>
      <c r="E261" s="2" t="str">
        <f>MID([1]Sheet1!F261,FIND("-",[1]Sheet1!F261)+1,FIND(")",[1]Sheet1!F261)-FIND("-",[1]Sheet1!F261)-1)</f>
        <v>银川</v>
      </c>
      <c r="F261" s="2" t="s">
        <v>159</v>
      </c>
      <c r="G261" s="2" t="s">
        <v>50</v>
      </c>
      <c r="H261" s="2" t="s">
        <v>55</v>
      </c>
      <c r="I261" s="2" t="s">
        <v>21</v>
      </c>
      <c r="J261" s="2" t="s">
        <v>96</v>
      </c>
      <c r="K261" s="2" t="s">
        <v>137</v>
      </c>
      <c r="L261" s="2" t="s">
        <v>24</v>
      </c>
      <c r="M261" s="2" t="s">
        <v>126</v>
      </c>
      <c r="N261" s="2" t="s">
        <v>46</v>
      </c>
      <c r="O261" s="2" t="s">
        <v>47</v>
      </c>
      <c r="P261" s="2" t="s">
        <v>86</v>
      </c>
      <c r="Q261" s="2" t="s">
        <v>497</v>
      </c>
    </row>
    <row r="262" spans="1:17">
      <c r="A262" s="2" t="s">
        <v>498</v>
      </c>
      <c r="B262" s="2" t="str">
        <f>[1]Sheet1!M262</f>
        <v>男</v>
      </c>
      <c r="C262" s="3" t="str" cm="1">
        <f t="array" ref="C2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262" s="2" t="str">
        <f>MID([1]Sheet1!F262,FIND("(",[1]Sheet1!F262)+1,FIND("-",[1]Sheet1!F262)-FIND("(",[1]Sheet1!F262)-1)</f>
        <v>吉林</v>
      </c>
      <c r="E262" s="2" t="str">
        <f>MID([1]Sheet1!F262,FIND("-",[1]Sheet1!F262)+1,FIND(")",[1]Sheet1!F262)-FIND("-",[1]Sheet1!F262)-1)</f>
        <v>长春</v>
      </c>
      <c r="F262" s="2" t="s">
        <v>159</v>
      </c>
      <c r="G262" s="2" t="s">
        <v>32</v>
      </c>
      <c r="H262" s="2" t="s">
        <v>33</v>
      </c>
      <c r="I262" s="2" t="s">
        <v>21</v>
      </c>
      <c r="J262" s="2" t="s">
        <v>22</v>
      </c>
      <c r="K262" s="2" t="s">
        <v>217</v>
      </c>
      <c r="L262" s="2" t="s">
        <v>24</v>
      </c>
      <c r="M262" s="2" t="s">
        <v>36</v>
      </c>
      <c r="N262" s="2" t="s">
        <v>37</v>
      </c>
      <c r="O262" s="2" t="s">
        <v>27</v>
      </c>
      <c r="P262" s="2" t="s">
        <v>39</v>
      </c>
      <c r="Q262" s="2" t="s">
        <v>339</v>
      </c>
    </row>
    <row r="263" spans="1:17">
      <c r="A263" s="2" t="s">
        <v>499</v>
      </c>
      <c r="B263" s="2" t="str">
        <f>[1]Sheet1!M263</f>
        <v>男</v>
      </c>
      <c r="C263" s="3" t="str" cm="1">
        <f t="array" ref="C2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63" s="2" t="str">
        <f>MID([1]Sheet1!F263,FIND("(",[1]Sheet1!F263)+1,FIND("-",[1]Sheet1!F263)-FIND("(",[1]Sheet1!F263)-1)</f>
        <v>甘肃</v>
      </c>
      <c r="E263" s="2" t="str">
        <f>MID([1]Sheet1!F263,FIND("-",[1]Sheet1!F263)+1,FIND(")",[1]Sheet1!F263)-FIND("-",[1]Sheet1!F263)-1)</f>
        <v>平凉</v>
      </c>
      <c r="F263" s="2" t="s">
        <v>42</v>
      </c>
      <c r="G263" s="2" t="s">
        <v>19</v>
      </c>
      <c r="H263" s="2" t="s">
        <v>66</v>
      </c>
      <c r="I263" s="2" t="s">
        <v>21</v>
      </c>
      <c r="J263" s="2" t="s">
        <v>82</v>
      </c>
      <c r="K263" s="2" t="s">
        <v>115</v>
      </c>
      <c r="L263" s="2" t="s">
        <v>24</v>
      </c>
      <c r="M263" s="2" t="s">
        <v>100</v>
      </c>
      <c r="N263" s="2" t="s">
        <v>37</v>
      </c>
      <c r="O263" s="2" t="s">
        <v>58</v>
      </c>
      <c r="P263" s="2" t="s">
        <v>86</v>
      </c>
      <c r="Q263" s="2" t="s">
        <v>500</v>
      </c>
    </row>
    <row r="264" spans="1:17">
      <c r="A264" s="2" t="s">
        <v>501</v>
      </c>
      <c r="B264" s="2" t="str">
        <f>[1]Sheet1!M264</f>
        <v>男</v>
      </c>
      <c r="C264" s="3" t="str" cm="1">
        <f t="array" ref="C2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64" s="2" t="str">
        <f>MID([1]Sheet1!F264,FIND("(",[1]Sheet1!F264)+1,FIND("-",[1]Sheet1!F264)-FIND("(",[1]Sheet1!F264)-1)</f>
        <v>河北</v>
      </c>
      <c r="E264" s="2" t="str">
        <f>MID([1]Sheet1!F264,FIND("-",[1]Sheet1!F264)+1,FIND(")",[1]Sheet1!F264)-FIND("-",[1]Sheet1!F264)-1)</f>
        <v>沧州</v>
      </c>
      <c r="F264" s="2" t="s">
        <v>42</v>
      </c>
      <c r="G264" s="2" t="s">
        <v>19</v>
      </c>
      <c r="H264" s="2" t="s">
        <v>20</v>
      </c>
      <c r="I264" s="2" t="s">
        <v>120</v>
      </c>
      <c r="J264" s="2" t="s">
        <v>82</v>
      </c>
      <c r="K264" s="2" t="s">
        <v>130</v>
      </c>
      <c r="L264" s="2" t="s">
        <v>24</v>
      </c>
      <c r="M264" s="2" t="s">
        <v>36</v>
      </c>
      <c r="N264" s="2" t="s">
        <v>37</v>
      </c>
      <c r="O264" s="2" t="s">
        <v>89</v>
      </c>
      <c r="P264" s="2" t="s">
        <v>39</v>
      </c>
      <c r="Q264" s="2" t="s">
        <v>502</v>
      </c>
    </row>
    <row r="265" spans="1:17">
      <c r="A265" s="2" t="s">
        <v>503</v>
      </c>
      <c r="B265" s="2" t="str">
        <f>[1]Sheet1!M265</f>
        <v>男</v>
      </c>
      <c r="C265" s="3" t="str" cm="1">
        <f t="array" ref="C2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65" s="2" t="str">
        <f>MID([1]Sheet1!F265,FIND("(",[1]Sheet1!F265)+1,FIND("-",[1]Sheet1!F265)-FIND("(",[1]Sheet1!F265)-1)</f>
        <v>重庆</v>
      </c>
      <c r="E265" s="2" t="str">
        <f>MID([1]Sheet1!F265,FIND("-",[1]Sheet1!F265)+1,FIND(")",[1]Sheet1!F265)-FIND("-",[1]Sheet1!F265)-1)</f>
        <v>重庆</v>
      </c>
      <c r="F265" s="2" t="s">
        <v>31</v>
      </c>
      <c r="G265" s="2" t="s">
        <v>81</v>
      </c>
      <c r="H265" s="2" t="s">
        <v>66</v>
      </c>
      <c r="I265" s="2" t="s">
        <v>51</v>
      </c>
      <c r="J265" s="2" t="s">
        <v>77</v>
      </c>
      <c r="K265" s="2" t="s">
        <v>115</v>
      </c>
      <c r="L265" s="2" t="s">
        <v>24</v>
      </c>
      <c r="M265" s="2" t="s">
        <v>36</v>
      </c>
      <c r="N265" s="2" t="s">
        <v>26</v>
      </c>
      <c r="O265" s="2" t="s">
        <v>47</v>
      </c>
      <c r="P265" s="2" t="s">
        <v>86</v>
      </c>
      <c r="Q265" s="2" t="s">
        <v>261</v>
      </c>
    </row>
    <row r="266" spans="1:17">
      <c r="A266" s="2" t="s">
        <v>504</v>
      </c>
      <c r="B266" s="2" t="str">
        <f>[1]Sheet1!M266</f>
        <v>男</v>
      </c>
      <c r="C266" s="3" t="str" cm="1">
        <f t="array" ref="C2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66" s="2" t="str">
        <f>MID([1]Sheet1!F266,FIND("(",[1]Sheet1!F266)+1,FIND("-",[1]Sheet1!F266)-FIND("(",[1]Sheet1!F266)-1)</f>
        <v>河南</v>
      </c>
      <c r="E266" s="2" t="str">
        <f>MID([1]Sheet1!F266,FIND("-",[1]Sheet1!F266)+1,FIND(")",[1]Sheet1!F266)-FIND("-",[1]Sheet1!F266)-1)</f>
        <v>郑州</v>
      </c>
      <c r="F266" s="2" t="s">
        <v>42</v>
      </c>
      <c r="G266" s="2" t="s">
        <v>50</v>
      </c>
      <c r="H266" s="2" t="s">
        <v>66</v>
      </c>
      <c r="I266" s="2" t="s">
        <v>73</v>
      </c>
      <c r="J266" s="2" t="s">
        <v>82</v>
      </c>
      <c r="K266" s="2" t="s">
        <v>240</v>
      </c>
      <c r="L266" s="2" t="s">
        <v>24</v>
      </c>
      <c r="M266" s="2" t="s">
        <v>67</v>
      </c>
      <c r="N266" s="2" t="s">
        <v>37</v>
      </c>
      <c r="O266" s="2" t="s">
        <v>204</v>
      </c>
      <c r="P266" s="2" t="s">
        <v>59</v>
      </c>
      <c r="Q266" s="2" t="s">
        <v>505</v>
      </c>
    </row>
    <row r="267" spans="1:17">
      <c r="A267" s="2" t="s">
        <v>496</v>
      </c>
      <c r="B267" s="2" t="str">
        <f>[1]Sheet1!M267</f>
        <v>男</v>
      </c>
      <c r="C267" s="3" t="str" cm="1">
        <f t="array" ref="C2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67" s="2" t="str">
        <f>MID([1]Sheet1!F267,FIND("(",[1]Sheet1!F267)+1,FIND("-",[1]Sheet1!F267)-FIND("(",[1]Sheet1!F267)-1)</f>
        <v>宁夏</v>
      </c>
      <c r="E267" s="2" t="str">
        <f>MID([1]Sheet1!F267,FIND("-",[1]Sheet1!F267)+1,FIND(")",[1]Sheet1!F267)-FIND("-",[1]Sheet1!F267)-1)</f>
        <v>银川</v>
      </c>
      <c r="F267" s="2" t="s">
        <v>159</v>
      </c>
      <c r="G267" s="2" t="s">
        <v>50</v>
      </c>
      <c r="H267" s="2" t="s">
        <v>55</v>
      </c>
      <c r="I267" s="2" t="s">
        <v>51</v>
      </c>
      <c r="J267" s="2" t="s">
        <v>96</v>
      </c>
      <c r="K267" s="2" t="s">
        <v>117</v>
      </c>
      <c r="L267" s="2" t="s">
        <v>24</v>
      </c>
      <c r="M267" s="2" t="s">
        <v>25</v>
      </c>
      <c r="N267" s="2" t="s">
        <v>37</v>
      </c>
      <c r="O267" s="2" t="s">
        <v>97</v>
      </c>
      <c r="P267" s="2" t="s">
        <v>86</v>
      </c>
      <c r="Q267" s="2" t="s">
        <v>238</v>
      </c>
    </row>
    <row r="268" spans="1:17">
      <c r="A268" s="2" t="s">
        <v>506</v>
      </c>
      <c r="B268" s="2" t="str">
        <f>[1]Sheet1!M268</f>
        <v>男</v>
      </c>
      <c r="C268" s="3" t="str" cm="1">
        <f t="array" ref="C2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68" s="2" t="str">
        <f>MID([1]Sheet1!F268,FIND("(",[1]Sheet1!F268)+1,FIND("-",[1]Sheet1!F268)-FIND("(",[1]Sheet1!F268)-1)</f>
        <v>河北</v>
      </c>
      <c r="E268" s="2" t="str">
        <f>MID([1]Sheet1!F268,FIND("-",[1]Sheet1!F268)+1,FIND(")",[1]Sheet1!F268)-FIND("-",[1]Sheet1!F268)-1)</f>
        <v>沧州</v>
      </c>
      <c r="F268" s="2" t="s">
        <v>42</v>
      </c>
      <c r="G268" s="2" t="s">
        <v>19</v>
      </c>
      <c r="H268" s="2" t="s">
        <v>66</v>
      </c>
      <c r="I268" s="2" t="s">
        <v>43</v>
      </c>
      <c r="J268" s="2" t="s">
        <v>56</v>
      </c>
      <c r="K268" s="2" t="s">
        <v>130</v>
      </c>
      <c r="L268" s="2" t="s">
        <v>24</v>
      </c>
      <c r="M268" s="2" t="s">
        <v>78</v>
      </c>
      <c r="N268" s="2" t="s">
        <v>37</v>
      </c>
      <c r="O268" s="2" t="s">
        <v>406</v>
      </c>
      <c r="P268" s="2" t="s">
        <v>59</v>
      </c>
      <c r="Q268" s="2" t="s">
        <v>370</v>
      </c>
    </row>
    <row r="269" spans="1:17">
      <c r="A269" s="2" t="s">
        <v>507</v>
      </c>
      <c r="B269" s="2" t="str">
        <f>[1]Sheet1!M269</f>
        <v>女</v>
      </c>
      <c r="C269" s="3" t="str" cm="1">
        <f t="array" ref="C2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69" s="2" t="str">
        <f>MID([1]Sheet1!F269,FIND("(",[1]Sheet1!F269)+1,FIND("-",[1]Sheet1!F269)-FIND("(",[1]Sheet1!F269)-1)</f>
        <v>四川</v>
      </c>
      <c r="E269" s="2" t="str">
        <f>MID([1]Sheet1!F269,FIND("-",[1]Sheet1!F269)+1,FIND(")",[1]Sheet1!F269)-FIND("-",[1]Sheet1!F269)-1)</f>
        <v>成都</v>
      </c>
      <c r="F269" s="2" t="s">
        <v>18</v>
      </c>
      <c r="G269" s="2" t="s">
        <v>81</v>
      </c>
      <c r="H269" s="2" t="s">
        <v>66</v>
      </c>
      <c r="I269" s="2" t="s">
        <v>43</v>
      </c>
      <c r="J269" s="2" t="s">
        <v>82</v>
      </c>
      <c r="K269" s="2" t="s">
        <v>117</v>
      </c>
      <c r="L269" s="2" t="s">
        <v>24</v>
      </c>
      <c r="M269" s="2" t="s">
        <v>36</v>
      </c>
      <c r="N269" s="2" t="s">
        <v>26</v>
      </c>
      <c r="O269" s="2" t="s">
        <v>47</v>
      </c>
      <c r="P269" s="2" t="s">
        <v>179</v>
      </c>
      <c r="Q269" s="2" t="s">
        <v>172</v>
      </c>
    </row>
    <row r="270" spans="1:17">
      <c r="A270" s="2" t="s">
        <v>508</v>
      </c>
      <c r="B270" s="2" t="str">
        <f>[1]Sheet1!M270</f>
        <v>男</v>
      </c>
      <c r="C270" s="3" t="str" cm="1">
        <f t="array" ref="C2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70" s="2" t="str">
        <f>MID([1]Sheet1!F270,FIND("(",[1]Sheet1!F270)+1,FIND("-",[1]Sheet1!F270)-FIND("(",[1]Sheet1!F270)-1)</f>
        <v>四川</v>
      </c>
      <c r="E270" s="2" t="str">
        <f>MID([1]Sheet1!F270,FIND("-",[1]Sheet1!F270)+1,FIND(")",[1]Sheet1!F270)-FIND("-",[1]Sheet1!F270)-1)</f>
        <v>广安</v>
      </c>
      <c r="F270" s="2" t="s">
        <v>42</v>
      </c>
      <c r="G270" s="2" t="s">
        <v>50</v>
      </c>
      <c r="H270" s="2" t="s">
        <v>66</v>
      </c>
      <c r="I270" s="2" t="s">
        <v>51</v>
      </c>
      <c r="J270" s="2" t="s">
        <v>77</v>
      </c>
      <c r="K270" s="2" t="s">
        <v>304</v>
      </c>
      <c r="L270" s="2" t="s">
        <v>24</v>
      </c>
      <c r="M270" s="2" t="s">
        <v>57</v>
      </c>
      <c r="N270" s="2" t="s">
        <v>46</v>
      </c>
      <c r="O270" s="2" t="s">
        <v>74</v>
      </c>
      <c r="P270" s="2" t="s">
        <v>63</v>
      </c>
      <c r="Q270" s="2" t="s">
        <v>150</v>
      </c>
    </row>
    <row r="271" spans="1:17">
      <c r="A271" s="2" t="s">
        <v>509</v>
      </c>
      <c r="B271" s="2" t="str">
        <f>[1]Sheet1!M271</f>
        <v>男</v>
      </c>
      <c r="C271" s="3" t="str" cm="1">
        <f t="array" ref="C2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271" s="2" t="str">
        <f>MID([1]Sheet1!F271,FIND("(",[1]Sheet1!F271)+1,FIND("-",[1]Sheet1!F271)-FIND("(",[1]Sheet1!F271)-1)</f>
        <v>吉林</v>
      </c>
      <c r="E271" s="2" t="str">
        <f>MID([1]Sheet1!F271,FIND("-",[1]Sheet1!F271)+1,FIND(")",[1]Sheet1!F271)-FIND("-",[1]Sheet1!F271)-1)</f>
        <v>长春</v>
      </c>
      <c r="F271" s="2" t="s">
        <v>88</v>
      </c>
      <c r="G271" s="2" t="s">
        <v>50</v>
      </c>
      <c r="H271" s="2" t="s">
        <v>20</v>
      </c>
      <c r="I271" s="2" t="s">
        <v>51</v>
      </c>
      <c r="J271" s="2" t="s">
        <v>56</v>
      </c>
      <c r="K271" s="2" t="s">
        <v>130</v>
      </c>
      <c r="L271" s="2" t="s">
        <v>24</v>
      </c>
      <c r="M271" s="2" t="s">
        <v>36</v>
      </c>
      <c r="N271" s="2" t="s">
        <v>37</v>
      </c>
      <c r="O271" s="2" t="s">
        <v>373</v>
      </c>
      <c r="P271" s="2" t="s">
        <v>175</v>
      </c>
      <c r="Q271" s="2" t="s">
        <v>160</v>
      </c>
    </row>
    <row r="272" spans="1:17">
      <c r="A272" s="2" t="s">
        <v>510</v>
      </c>
      <c r="B272" s="2" t="str">
        <f>[1]Sheet1!M272</f>
        <v>男</v>
      </c>
      <c r="C272" s="3" t="str" cm="1">
        <f t="array" ref="C2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72" s="2" t="str">
        <f>MID([1]Sheet1!F272,FIND("(",[1]Sheet1!F272)+1,FIND("-",[1]Sheet1!F272)-FIND("(",[1]Sheet1!F272)-1)</f>
        <v>贵州</v>
      </c>
      <c r="E272" s="2" t="str">
        <f>MID([1]Sheet1!F272,FIND("-",[1]Sheet1!F272)+1,FIND(")",[1]Sheet1!F272)-FIND("-",[1]Sheet1!F272)-1)</f>
        <v>遵义</v>
      </c>
      <c r="F272" s="2" t="s">
        <v>18</v>
      </c>
      <c r="G272" s="2" t="s">
        <v>32</v>
      </c>
      <c r="H272" s="2" t="s">
        <v>33</v>
      </c>
      <c r="I272" s="2" t="s">
        <v>34</v>
      </c>
      <c r="J272" s="2" t="s">
        <v>56</v>
      </c>
      <c r="K272" s="2" t="s">
        <v>117</v>
      </c>
      <c r="L272" s="2" t="s">
        <v>83</v>
      </c>
      <c r="M272" s="2" t="s">
        <v>36</v>
      </c>
      <c r="N272" s="2" t="s">
        <v>26</v>
      </c>
      <c r="O272" s="2" t="s">
        <v>511</v>
      </c>
      <c r="P272" s="2" t="s">
        <v>512</v>
      </c>
      <c r="Q272" s="2" t="s">
        <v>487</v>
      </c>
    </row>
    <row r="273" spans="1:17">
      <c r="A273" s="2" t="s">
        <v>513</v>
      </c>
      <c r="B273" s="2" t="str">
        <f>[1]Sheet1!M273</f>
        <v>男</v>
      </c>
      <c r="C273" s="3" t="str" cm="1">
        <f t="array" ref="C2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73" s="2" t="str">
        <f>MID([1]Sheet1!F273,FIND("(",[1]Sheet1!F273)+1,FIND("-",[1]Sheet1!F273)-FIND("(",[1]Sheet1!F273)-1)</f>
        <v>河北</v>
      </c>
      <c r="E273" s="2" t="str">
        <f>MID([1]Sheet1!F273,FIND("-",[1]Sheet1!F273)+1,FIND(")",[1]Sheet1!F273)-FIND("-",[1]Sheet1!F273)-1)</f>
        <v>保定</v>
      </c>
      <c r="F273" s="2" t="s">
        <v>159</v>
      </c>
      <c r="G273" s="2" t="s">
        <v>114</v>
      </c>
      <c r="H273" s="2" t="s">
        <v>33</v>
      </c>
      <c r="I273" s="2" t="s">
        <v>34</v>
      </c>
      <c r="J273" s="2" t="s">
        <v>35</v>
      </c>
      <c r="K273" s="2" t="s">
        <v>121</v>
      </c>
      <c r="L273" s="2" t="s">
        <v>83</v>
      </c>
      <c r="M273" s="2" t="s">
        <v>448</v>
      </c>
      <c r="N273" s="2" t="s">
        <v>37</v>
      </c>
      <c r="O273" s="2" t="s">
        <v>47</v>
      </c>
      <c r="P273" s="2" t="s">
        <v>59</v>
      </c>
      <c r="Q273" s="2" t="s">
        <v>514</v>
      </c>
    </row>
    <row r="274" spans="1:17">
      <c r="A274" s="2" t="s">
        <v>513</v>
      </c>
      <c r="B274" s="2" t="str">
        <f>[1]Sheet1!M274</f>
        <v>男</v>
      </c>
      <c r="C274" s="3" t="str" cm="1">
        <f t="array" ref="C2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74" s="2" t="str">
        <f>MID([1]Sheet1!F274,FIND("(",[1]Sheet1!F274)+1,FIND("-",[1]Sheet1!F274)-FIND("(",[1]Sheet1!F274)-1)</f>
        <v>河北</v>
      </c>
      <c r="E274" s="2" t="str">
        <f>MID([1]Sheet1!F274,FIND("-",[1]Sheet1!F274)+1,FIND(")",[1]Sheet1!F274)-FIND("-",[1]Sheet1!F274)-1)</f>
        <v>保定</v>
      </c>
      <c r="F274" s="2" t="s">
        <v>159</v>
      </c>
      <c r="G274" s="2" t="s">
        <v>114</v>
      </c>
      <c r="H274" s="2" t="s">
        <v>33</v>
      </c>
      <c r="I274" s="2" t="s">
        <v>34</v>
      </c>
      <c r="J274" s="2" t="s">
        <v>35</v>
      </c>
      <c r="K274" s="2" t="s">
        <v>121</v>
      </c>
      <c r="L274" s="2" t="s">
        <v>83</v>
      </c>
      <c r="M274" s="2" t="s">
        <v>448</v>
      </c>
      <c r="N274" s="2" t="s">
        <v>37</v>
      </c>
      <c r="O274" s="2" t="s">
        <v>47</v>
      </c>
      <c r="P274" s="2" t="s">
        <v>59</v>
      </c>
      <c r="Q274" s="2" t="s">
        <v>515</v>
      </c>
    </row>
    <row r="275" spans="1:17">
      <c r="A275" s="2" t="s">
        <v>516</v>
      </c>
      <c r="B275" s="2" t="str">
        <f>[1]Sheet1!M275</f>
        <v>男</v>
      </c>
      <c r="C275" s="3" t="str" cm="1">
        <f t="array" ref="C2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75" s="2" t="str">
        <f>MID([1]Sheet1!F275,FIND("(",[1]Sheet1!F275)+1,FIND("-",[1]Sheet1!F275)-FIND("(",[1]Sheet1!F275)-1)</f>
        <v>山东</v>
      </c>
      <c r="E275" s="2" t="str">
        <f>MID([1]Sheet1!F275,FIND("-",[1]Sheet1!F275)+1,FIND(")",[1]Sheet1!F275)-FIND("-",[1]Sheet1!F275)-1)</f>
        <v>聊城</v>
      </c>
      <c r="F275" s="2" t="s">
        <v>42</v>
      </c>
      <c r="G275" s="2" t="s">
        <v>50</v>
      </c>
      <c r="H275" s="2" t="s">
        <v>20</v>
      </c>
      <c r="I275" s="2" t="s">
        <v>21</v>
      </c>
      <c r="J275" s="2" t="s">
        <v>44</v>
      </c>
      <c r="K275" s="2" t="s">
        <v>130</v>
      </c>
      <c r="L275" s="2" t="s">
        <v>24</v>
      </c>
      <c r="M275" s="2" t="s">
        <v>78</v>
      </c>
      <c r="N275" s="2" t="s">
        <v>37</v>
      </c>
      <c r="O275" s="2" t="s">
        <v>47</v>
      </c>
      <c r="P275" s="2" t="s">
        <v>28</v>
      </c>
      <c r="Q275" s="2" t="s">
        <v>29</v>
      </c>
    </row>
    <row r="276" spans="1:17">
      <c r="A276" s="2" t="s">
        <v>517</v>
      </c>
      <c r="B276" s="2" t="str">
        <f>[1]Sheet1!M276</f>
        <v>男</v>
      </c>
      <c r="C276" s="3" t="str" cm="1">
        <f t="array" ref="C2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276" s="2" t="str">
        <f>MID([1]Sheet1!F276,FIND("(",[1]Sheet1!F276)+1,FIND("-",[1]Sheet1!F276)-FIND("(",[1]Sheet1!F276)-1)</f>
        <v>北京</v>
      </c>
      <c r="E276" s="2" t="str">
        <f>MID([1]Sheet1!F276,FIND("-",[1]Sheet1!F276)+1,FIND(")",[1]Sheet1!F276)-FIND("-",[1]Sheet1!F276)-1)</f>
        <v>北京</v>
      </c>
      <c r="F276" s="2" t="s">
        <v>31</v>
      </c>
      <c r="G276" s="2" t="s">
        <v>81</v>
      </c>
      <c r="H276" s="2" t="s">
        <v>66</v>
      </c>
      <c r="I276" s="2" t="s">
        <v>43</v>
      </c>
      <c r="J276" s="2" t="s">
        <v>82</v>
      </c>
      <c r="K276" s="2" t="s">
        <v>412</v>
      </c>
      <c r="L276" s="2" t="s">
        <v>24</v>
      </c>
      <c r="M276" s="2" t="s">
        <v>67</v>
      </c>
      <c r="N276" s="2" t="s">
        <v>37</v>
      </c>
      <c r="O276" s="2" t="s">
        <v>47</v>
      </c>
      <c r="P276" s="2" t="s">
        <v>39</v>
      </c>
      <c r="Q276" s="2" t="s">
        <v>518</v>
      </c>
    </row>
    <row r="277" spans="1:17">
      <c r="A277" s="2" t="s">
        <v>519</v>
      </c>
      <c r="B277" s="2" t="str">
        <f>[1]Sheet1!M277</f>
        <v>男</v>
      </c>
      <c r="C277" s="3" t="str" cm="1">
        <f t="array" ref="C2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77" s="2" t="str">
        <f>MID([1]Sheet1!F277,FIND("(",[1]Sheet1!F277)+1,FIND("-",[1]Sheet1!F277)-FIND("(",[1]Sheet1!F277)-1)</f>
        <v>山东</v>
      </c>
      <c r="E277" s="2" t="str">
        <f>MID([1]Sheet1!F277,FIND("-",[1]Sheet1!F277)+1,FIND(")",[1]Sheet1!F277)-FIND("-",[1]Sheet1!F277)-1)</f>
        <v>青岛</v>
      </c>
      <c r="F277" s="2" t="s">
        <v>88</v>
      </c>
      <c r="G277" s="2" t="s">
        <v>19</v>
      </c>
      <c r="H277" s="2" t="s">
        <v>20</v>
      </c>
      <c r="I277" s="2" t="s">
        <v>51</v>
      </c>
      <c r="J277" s="2" t="s">
        <v>82</v>
      </c>
      <c r="K277" s="2" t="s">
        <v>121</v>
      </c>
      <c r="L277" s="2" t="s">
        <v>24</v>
      </c>
      <c r="M277" s="2" t="s">
        <v>36</v>
      </c>
      <c r="N277" s="2" t="s">
        <v>37</v>
      </c>
      <c r="O277" s="2" t="s">
        <v>178</v>
      </c>
      <c r="P277" s="2" t="s">
        <v>175</v>
      </c>
      <c r="Q277" s="2" t="s">
        <v>487</v>
      </c>
    </row>
    <row r="278" spans="1:17">
      <c r="A278" s="2" t="s">
        <v>520</v>
      </c>
      <c r="B278" s="2" t="str">
        <f>[1]Sheet1!M278</f>
        <v>男</v>
      </c>
      <c r="C278" s="3" t="str" cm="1">
        <f t="array" ref="C2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78" s="2" t="str">
        <f>MID([1]Sheet1!F278,FIND("(",[1]Sheet1!F278)+1,FIND("-",[1]Sheet1!F278)-FIND("(",[1]Sheet1!F278)-1)</f>
        <v>山东</v>
      </c>
      <c r="E278" s="2" t="str">
        <f>MID([1]Sheet1!F278,FIND("-",[1]Sheet1!F278)+1,FIND(")",[1]Sheet1!F278)-FIND("-",[1]Sheet1!F278)-1)</f>
        <v>青岛</v>
      </c>
      <c r="F278" s="2" t="s">
        <v>70</v>
      </c>
      <c r="G278" s="2" t="s">
        <v>114</v>
      </c>
      <c r="H278" s="2" t="s">
        <v>66</v>
      </c>
      <c r="I278" s="2" t="s">
        <v>51</v>
      </c>
      <c r="J278" s="2" t="s">
        <v>96</v>
      </c>
      <c r="K278" s="2" t="s">
        <v>121</v>
      </c>
      <c r="L278" s="2" t="s">
        <v>83</v>
      </c>
      <c r="M278" s="2" t="s">
        <v>36</v>
      </c>
      <c r="N278" s="2" t="s">
        <v>26</v>
      </c>
      <c r="O278" s="2" t="s">
        <v>27</v>
      </c>
      <c r="P278" s="2" t="s">
        <v>86</v>
      </c>
      <c r="Q278" s="2" t="s">
        <v>118</v>
      </c>
    </row>
    <row r="279" spans="1:17">
      <c r="A279" s="2" t="s">
        <v>521</v>
      </c>
      <c r="B279" s="2" t="str">
        <f>[1]Sheet1!M279</f>
        <v>男</v>
      </c>
      <c r="C279" s="3" t="str" cm="1">
        <f t="array" ref="C2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79" s="2" t="str">
        <f>MID([1]Sheet1!F279,FIND("(",[1]Sheet1!F279)+1,FIND("-",[1]Sheet1!F279)-FIND("(",[1]Sheet1!F279)-1)</f>
        <v>河南</v>
      </c>
      <c r="E279" s="2" t="str">
        <f>MID([1]Sheet1!F279,FIND("-",[1]Sheet1!F279)+1,FIND(")",[1]Sheet1!F279)-FIND("-",[1]Sheet1!F279)-1)</f>
        <v>郑州</v>
      </c>
      <c r="F279" s="2" t="s">
        <v>42</v>
      </c>
      <c r="G279" s="2" t="s">
        <v>50</v>
      </c>
      <c r="H279" s="2" t="s">
        <v>66</v>
      </c>
      <c r="I279" s="2" t="s">
        <v>51</v>
      </c>
      <c r="J279" s="2" t="s">
        <v>35</v>
      </c>
      <c r="K279" s="2" t="s">
        <v>117</v>
      </c>
      <c r="L279" s="2" t="s">
        <v>24</v>
      </c>
      <c r="M279" s="2" t="s">
        <v>36</v>
      </c>
      <c r="N279" s="2" t="s">
        <v>26</v>
      </c>
      <c r="O279" s="2" t="s">
        <v>522</v>
      </c>
      <c r="P279" s="2" t="s">
        <v>218</v>
      </c>
      <c r="Q279" s="2" t="s">
        <v>101</v>
      </c>
    </row>
    <row r="280" spans="1:17">
      <c r="A280" s="2" t="s">
        <v>523</v>
      </c>
      <c r="B280" s="2" t="str">
        <f>[1]Sheet1!M280</f>
        <v>男</v>
      </c>
      <c r="C280" s="3" t="str" cm="1">
        <f t="array" ref="C2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0" s="2" t="str">
        <f>MID([1]Sheet1!F280,FIND("(",[1]Sheet1!F280)+1,FIND("-",[1]Sheet1!F280)-FIND("(",[1]Sheet1!F280)-1)</f>
        <v>河南</v>
      </c>
      <c r="E280" s="2" t="str">
        <f>MID([1]Sheet1!F280,FIND("-",[1]Sheet1!F280)+1,FIND(")",[1]Sheet1!F280)-FIND("-",[1]Sheet1!F280)-1)</f>
        <v>新乡</v>
      </c>
      <c r="F280" s="2" t="s">
        <v>42</v>
      </c>
      <c r="G280" s="2" t="s">
        <v>19</v>
      </c>
      <c r="H280" s="2" t="s">
        <v>55</v>
      </c>
      <c r="I280" s="2" t="s">
        <v>51</v>
      </c>
      <c r="J280" s="2" t="s">
        <v>77</v>
      </c>
      <c r="K280" s="2" t="s">
        <v>130</v>
      </c>
      <c r="L280" s="2" t="s">
        <v>24</v>
      </c>
      <c r="M280" s="2" t="s">
        <v>36</v>
      </c>
      <c r="N280" s="2" t="s">
        <v>37</v>
      </c>
      <c r="O280" s="2" t="s">
        <v>122</v>
      </c>
      <c r="P280" s="2" t="s">
        <v>63</v>
      </c>
      <c r="Q280" s="2" t="s">
        <v>206</v>
      </c>
    </row>
    <row r="281" spans="1:17">
      <c r="A281" s="2" t="s">
        <v>524</v>
      </c>
      <c r="B281" s="2" t="str">
        <f>[1]Sheet1!M281</f>
        <v>男</v>
      </c>
      <c r="C281" s="3" t="str" cm="1">
        <f t="array" ref="C2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1" s="2" t="str">
        <f>MID([1]Sheet1!F281,FIND("(",[1]Sheet1!F281)+1,FIND("-",[1]Sheet1!F281)-FIND("(",[1]Sheet1!F281)-1)</f>
        <v>河南</v>
      </c>
      <c r="E281" s="2" t="str">
        <f>MID([1]Sheet1!F281,FIND("-",[1]Sheet1!F281)+1,FIND(")",[1]Sheet1!F281)-FIND("-",[1]Sheet1!F281)-1)</f>
        <v>郑州</v>
      </c>
      <c r="F281" s="2" t="s">
        <v>88</v>
      </c>
      <c r="G281" s="2" t="s">
        <v>81</v>
      </c>
      <c r="H281" s="2" t="s">
        <v>20</v>
      </c>
      <c r="I281" s="2" t="s">
        <v>120</v>
      </c>
      <c r="J281" s="2" t="s">
        <v>77</v>
      </c>
      <c r="K281" s="2" t="s">
        <v>121</v>
      </c>
      <c r="L281" s="2" t="s">
        <v>24</v>
      </c>
      <c r="M281" s="2" t="s">
        <v>25</v>
      </c>
      <c r="N281" s="2" t="s">
        <v>37</v>
      </c>
      <c r="O281" s="2" t="s">
        <v>47</v>
      </c>
      <c r="P281" s="2" t="s">
        <v>86</v>
      </c>
      <c r="Q281" s="2" t="s">
        <v>525</v>
      </c>
    </row>
    <row r="282" spans="1:17">
      <c r="A282" s="2" t="s">
        <v>526</v>
      </c>
      <c r="B282" s="2" t="str">
        <f>[1]Sheet1!M282</f>
        <v>男</v>
      </c>
      <c r="C282" s="3" t="str" cm="1">
        <f t="array" ref="C2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2" s="2" t="str">
        <f>MID([1]Sheet1!F282,FIND("(",[1]Sheet1!F282)+1,FIND("-",[1]Sheet1!F282)-FIND("(",[1]Sheet1!F282)-1)</f>
        <v>山东</v>
      </c>
      <c r="E282" s="2" t="str">
        <f>MID([1]Sheet1!F282,FIND("-",[1]Sheet1!F282)+1,FIND(")",[1]Sheet1!F282)-FIND("-",[1]Sheet1!F282)-1)</f>
        <v>济南</v>
      </c>
      <c r="F282" s="2" t="s">
        <v>70</v>
      </c>
      <c r="G282" s="2" t="s">
        <v>32</v>
      </c>
      <c r="H282" s="2" t="s">
        <v>66</v>
      </c>
      <c r="I282" s="2" t="s">
        <v>51</v>
      </c>
      <c r="J282" s="2" t="s">
        <v>44</v>
      </c>
      <c r="K282" s="2" t="s">
        <v>121</v>
      </c>
      <c r="L282" s="2" t="s">
        <v>24</v>
      </c>
      <c r="M282" s="2" t="s">
        <v>36</v>
      </c>
      <c r="N282" s="2" t="s">
        <v>105</v>
      </c>
      <c r="O282" s="2" t="s">
        <v>89</v>
      </c>
      <c r="P282" s="2" t="s">
        <v>86</v>
      </c>
      <c r="Q282" s="2" t="s">
        <v>75</v>
      </c>
    </row>
    <row r="283" spans="1:17">
      <c r="A283" s="2" t="s">
        <v>527</v>
      </c>
      <c r="B283" s="2" t="str">
        <f>[1]Sheet1!M283</f>
        <v>男</v>
      </c>
      <c r="C283" s="3" t="str" cm="1">
        <f t="array" ref="C2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3" s="2" t="str">
        <f>MID([1]Sheet1!F283,FIND("(",[1]Sheet1!F283)+1,FIND("-",[1]Sheet1!F283)-FIND("(",[1]Sheet1!F283)-1)</f>
        <v>山东</v>
      </c>
      <c r="E283" s="2" t="str">
        <f>MID([1]Sheet1!F283,FIND("-",[1]Sheet1!F283)+1,FIND(")",[1]Sheet1!F283)-FIND("-",[1]Sheet1!F283)-1)</f>
        <v>泰安</v>
      </c>
      <c r="F283" s="2" t="s">
        <v>42</v>
      </c>
      <c r="G283" s="2" t="s">
        <v>50</v>
      </c>
      <c r="H283" s="2" t="s">
        <v>66</v>
      </c>
      <c r="I283" s="2" t="s">
        <v>51</v>
      </c>
      <c r="J283" s="2" t="s">
        <v>82</v>
      </c>
      <c r="K283" s="2" t="s">
        <v>121</v>
      </c>
      <c r="L283" s="2" t="s">
        <v>24</v>
      </c>
      <c r="M283" s="2" t="s">
        <v>57</v>
      </c>
      <c r="N283" s="2" t="s">
        <v>26</v>
      </c>
      <c r="O283" s="2" t="s">
        <v>47</v>
      </c>
      <c r="P283" s="2" t="s">
        <v>86</v>
      </c>
      <c r="Q283" s="2" t="s">
        <v>166</v>
      </c>
    </row>
    <row r="284" spans="1:17">
      <c r="A284" s="2" t="s">
        <v>528</v>
      </c>
      <c r="B284" s="2" t="str">
        <f>[1]Sheet1!M284</f>
        <v>男</v>
      </c>
      <c r="C284" s="3" t="str" cm="1">
        <f t="array" ref="C2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4" s="2" t="str">
        <f>MID([1]Sheet1!F284,FIND("(",[1]Sheet1!F284)+1,FIND("-",[1]Sheet1!F284)-FIND("(",[1]Sheet1!F284)-1)</f>
        <v>山东</v>
      </c>
      <c r="E284" s="2" t="str">
        <f>MID([1]Sheet1!F284,FIND("-",[1]Sheet1!F284)+1,FIND(")",[1]Sheet1!F284)-FIND("-",[1]Sheet1!F284)-1)</f>
        <v>潍坊</v>
      </c>
      <c r="F284" s="2" t="s">
        <v>18</v>
      </c>
      <c r="G284" s="2" t="s">
        <v>32</v>
      </c>
      <c r="H284" s="2" t="s">
        <v>66</v>
      </c>
      <c r="I284" s="2" t="s">
        <v>43</v>
      </c>
      <c r="J284" s="2" t="s">
        <v>56</v>
      </c>
      <c r="K284" s="2" t="s">
        <v>115</v>
      </c>
      <c r="L284" s="2" t="s">
        <v>24</v>
      </c>
      <c r="M284" s="2" t="s">
        <v>78</v>
      </c>
      <c r="N284" s="2" t="s">
        <v>85</v>
      </c>
      <c r="O284" s="2" t="s">
        <v>89</v>
      </c>
      <c r="P284" s="2" t="s">
        <v>39</v>
      </c>
      <c r="Q284" s="2" t="s">
        <v>133</v>
      </c>
    </row>
    <row r="285" spans="1:17">
      <c r="A285" s="2" t="s">
        <v>529</v>
      </c>
      <c r="B285" s="2" t="str">
        <f>[1]Sheet1!M285</f>
        <v>男</v>
      </c>
      <c r="C285" s="3" t="str" cm="1">
        <f t="array" ref="C2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5" s="2" t="str">
        <f>MID([1]Sheet1!F285,FIND("(",[1]Sheet1!F285)+1,FIND("-",[1]Sheet1!F285)-FIND("(",[1]Sheet1!F285)-1)</f>
        <v>山东</v>
      </c>
      <c r="E285" s="2" t="str">
        <f>MID([1]Sheet1!F285,FIND("-",[1]Sheet1!F285)+1,FIND(")",[1]Sheet1!F285)-FIND("-",[1]Sheet1!F285)-1)</f>
        <v>滨州</v>
      </c>
      <c r="F285" s="2" t="s">
        <v>31</v>
      </c>
      <c r="G285" s="2" t="s">
        <v>19</v>
      </c>
      <c r="H285" s="2" t="s">
        <v>66</v>
      </c>
      <c r="I285" s="2" t="s">
        <v>120</v>
      </c>
      <c r="J285" s="2" t="s">
        <v>56</v>
      </c>
      <c r="K285" s="2" t="s">
        <v>121</v>
      </c>
      <c r="L285" s="2" t="s">
        <v>24</v>
      </c>
      <c r="M285" s="2" t="s">
        <v>36</v>
      </c>
      <c r="N285" s="2" t="s">
        <v>26</v>
      </c>
      <c r="O285" s="2" t="s">
        <v>47</v>
      </c>
      <c r="P285" s="2" t="s">
        <v>63</v>
      </c>
      <c r="Q285" s="2" t="s">
        <v>118</v>
      </c>
    </row>
    <row r="286" spans="1:17">
      <c r="A286" s="2" t="s">
        <v>530</v>
      </c>
      <c r="B286" s="2" t="str">
        <f>[1]Sheet1!M286</f>
        <v>男</v>
      </c>
      <c r="C286" s="3" t="str" cm="1">
        <f t="array" ref="C2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86" s="2" t="str">
        <f>MID([1]Sheet1!F286,FIND("(",[1]Sheet1!F286)+1,FIND("-",[1]Sheet1!F286)-FIND("(",[1]Sheet1!F286)-1)</f>
        <v>山东</v>
      </c>
      <c r="E286" s="2" t="str">
        <f>MID([1]Sheet1!F286,FIND("-",[1]Sheet1!F286)+1,FIND(")",[1]Sheet1!F286)-FIND("-",[1]Sheet1!F286)-1)</f>
        <v>济南</v>
      </c>
      <c r="F286" s="2" t="s">
        <v>18</v>
      </c>
      <c r="G286" s="2" t="s">
        <v>50</v>
      </c>
      <c r="H286" s="2" t="s">
        <v>20</v>
      </c>
      <c r="I286" s="2" t="s">
        <v>21</v>
      </c>
      <c r="J286" s="2" t="s">
        <v>82</v>
      </c>
      <c r="K286" s="2" t="s">
        <v>130</v>
      </c>
      <c r="L286" s="2" t="s">
        <v>24</v>
      </c>
      <c r="M286" s="2" t="s">
        <v>25</v>
      </c>
      <c r="N286" s="2" t="s">
        <v>46</v>
      </c>
      <c r="O286" s="2" t="s">
        <v>62</v>
      </c>
      <c r="P286" s="2" t="s">
        <v>39</v>
      </c>
      <c r="Q286" s="2" t="s">
        <v>172</v>
      </c>
    </row>
    <row r="287" spans="1:17">
      <c r="A287" s="2" t="s">
        <v>531</v>
      </c>
      <c r="B287" s="2" t="str">
        <f>[1]Sheet1!M287</f>
        <v>男</v>
      </c>
      <c r="C287" s="3" t="str" cm="1">
        <f t="array" ref="C2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87" s="2" t="str">
        <f>MID([1]Sheet1!F287,FIND("(",[1]Sheet1!F287)+1,FIND("-",[1]Sheet1!F287)-FIND("(",[1]Sheet1!F287)-1)</f>
        <v>四川</v>
      </c>
      <c r="E287" s="2" t="str">
        <f>MID([1]Sheet1!F287,FIND("-",[1]Sheet1!F287)+1,FIND(")",[1]Sheet1!F287)-FIND("-",[1]Sheet1!F287)-1)</f>
        <v>自贡</v>
      </c>
      <c r="F287" s="2" t="s">
        <v>42</v>
      </c>
      <c r="G287" s="2" t="s">
        <v>50</v>
      </c>
      <c r="H287" s="2" t="s">
        <v>20</v>
      </c>
      <c r="I287" s="2" t="s">
        <v>120</v>
      </c>
      <c r="J287" s="2" t="s">
        <v>96</v>
      </c>
      <c r="K287" s="2" t="s">
        <v>402</v>
      </c>
      <c r="L287" s="2" t="s">
        <v>24</v>
      </c>
      <c r="M287" s="2" t="s">
        <v>25</v>
      </c>
      <c r="N287" s="2" t="s">
        <v>37</v>
      </c>
      <c r="O287" s="2" t="s">
        <v>301</v>
      </c>
      <c r="P287" s="2" t="s">
        <v>175</v>
      </c>
      <c r="Q287" s="2" t="s">
        <v>29</v>
      </c>
    </row>
    <row r="288" spans="1:17">
      <c r="A288" s="2" t="s">
        <v>532</v>
      </c>
      <c r="B288" s="2" t="str">
        <f>[1]Sheet1!M288</f>
        <v>男</v>
      </c>
      <c r="C288" s="3" t="str" cm="1">
        <f t="array" ref="C2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288" s="2" t="str">
        <f>MID([1]Sheet1!F288,FIND("(",[1]Sheet1!F288)+1,FIND("-",[1]Sheet1!F288)-FIND("(",[1]Sheet1!F288)-1)</f>
        <v>新疆</v>
      </c>
      <c r="E288" s="2" t="str">
        <f>MID([1]Sheet1!F288,FIND("-",[1]Sheet1!F288)+1,FIND(")",[1]Sheet1!F288)-FIND("-",[1]Sheet1!F288)-1)</f>
        <v>阿克苏</v>
      </c>
      <c r="F288" s="2" t="s">
        <v>42</v>
      </c>
      <c r="G288" s="2" t="s">
        <v>50</v>
      </c>
      <c r="H288" s="2" t="s">
        <v>66</v>
      </c>
      <c r="I288" s="2" t="s">
        <v>51</v>
      </c>
      <c r="J288" s="2" t="s">
        <v>56</v>
      </c>
      <c r="K288" s="2" t="s">
        <v>115</v>
      </c>
      <c r="L288" s="2" t="s">
        <v>24</v>
      </c>
      <c r="M288" s="2" t="s">
        <v>111</v>
      </c>
      <c r="N288" s="2" t="s">
        <v>26</v>
      </c>
      <c r="O288" s="2" t="s">
        <v>58</v>
      </c>
      <c r="P288" s="2" t="s">
        <v>63</v>
      </c>
      <c r="Q288" s="2" t="s">
        <v>144</v>
      </c>
    </row>
    <row r="289" spans="1:17">
      <c r="A289" s="2" t="s">
        <v>533</v>
      </c>
      <c r="B289" s="2" t="str">
        <f>[1]Sheet1!M289</f>
        <v>男</v>
      </c>
      <c r="C289" s="3" t="str" cm="1">
        <f t="array" ref="C2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89" s="2" t="str">
        <f>MID([1]Sheet1!F289,FIND("(",[1]Sheet1!F289)+1,FIND("-",[1]Sheet1!F289)-FIND("(",[1]Sheet1!F289)-1)</f>
        <v>四川</v>
      </c>
      <c r="E289" s="2" t="str">
        <f>MID([1]Sheet1!F289,FIND("-",[1]Sheet1!F289)+1,FIND(")",[1]Sheet1!F289)-FIND("-",[1]Sheet1!F289)-1)</f>
        <v>遂宁</v>
      </c>
      <c r="F289" s="2" t="s">
        <v>42</v>
      </c>
      <c r="G289" s="2" t="s">
        <v>81</v>
      </c>
      <c r="H289" s="2" t="s">
        <v>20</v>
      </c>
      <c r="I289" s="2" t="s">
        <v>21</v>
      </c>
      <c r="J289" s="2" t="s">
        <v>56</v>
      </c>
      <c r="K289" s="2" t="s">
        <v>121</v>
      </c>
      <c r="L289" s="2" t="s">
        <v>24</v>
      </c>
      <c r="M289" s="2" t="s">
        <v>36</v>
      </c>
      <c r="N289" s="2" t="s">
        <v>105</v>
      </c>
      <c r="O289" s="2" t="s">
        <v>47</v>
      </c>
      <c r="P289" s="2" t="s">
        <v>179</v>
      </c>
      <c r="Q289" s="2" t="s">
        <v>487</v>
      </c>
    </row>
    <row r="290" spans="1:17">
      <c r="A290" s="2" t="s">
        <v>534</v>
      </c>
      <c r="B290" s="2" t="str">
        <f>[1]Sheet1!M290</f>
        <v>男</v>
      </c>
      <c r="C290" s="3" t="str" cm="1">
        <f t="array" ref="C2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0" s="2" t="str">
        <f>MID([1]Sheet1!F290,FIND("(",[1]Sheet1!F290)+1,FIND("-",[1]Sheet1!F290)-FIND("(",[1]Sheet1!F290)-1)</f>
        <v>河南</v>
      </c>
      <c r="E290" s="2" t="str">
        <f>MID([1]Sheet1!F290,FIND("-",[1]Sheet1!F290)+1,FIND(")",[1]Sheet1!F290)-FIND("-",[1]Sheet1!F290)-1)</f>
        <v>新乡</v>
      </c>
      <c r="F290" s="2" t="s">
        <v>42</v>
      </c>
      <c r="G290" s="2" t="s">
        <v>50</v>
      </c>
      <c r="H290" s="2" t="s">
        <v>20</v>
      </c>
      <c r="I290" s="2" t="s">
        <v>120</v>
      </c>
      <c r="J290" s="2" t="s">
        <v>35</v>
      </c>
      <c r="K290" s="2" t="s">
        <v>130</v>
      </c>
      <c r="L290" s="2" t="s">
        <v>24</v>
      </c>
      <c r="M290" s="2" t="s">
        <v>36</v>
      </c>
      <c r="N290" s="2" t="s">
        <v>26</v>
      </c>
      <c r="O290" s="2" t="s">
        <v>47</v>
      </c>
      <c r="P290" s="2" t="s">
        <v>39</v>
      </c>
      <c r="Q290" s="2" t="s">
        <v>98</v>
      </c>
    </row>
    <row r="291" spans="1:17">
      <c r="A291" s="2" t="s">
        <v>535</v>
      </c>
      <c r="B291" s="2" t="str">
        <f>[1]Sheet1!M291</f>
        <v>男</v>
      </c>
      <c r="C291" s="3" t="str" cm="1">
        <f t="array" ref="C2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291" s="2" t="str">
        <f>MID([1]Sheet1!F291,FIND("(",[1]Sheet1!F291)+1,FIND("-",[1]Sheet1!F291)-FIND("(",[1]Sheet1!F291)-1)</f>
        <v>贵州</v>
      </c>
      <c r="E291" s="2" t="str">
        <f>MID([1]Sheet1!F291,FIND("-",[1]Sheet1!F291)+1,FIND(")",[1]Sheet1!F291)-FIND("-",[1]Sheet1!F291)-1)</f>
        <v>遵义</v>
      </c>
      <c r="F291" s="2" t="s">
        <v>88</v>
      </c>
      <c r="G291" s="2" t="s">
        <v>50</v>
      </c>
      <c r="H291" s="2" t="s">
        <v>66</v>
      </c>
      <c r="I291" s="2" t="s">
        <v>43</v>
      </c>
      <c r="J291" s="2" t="s">
        <v>56</v>
      </c>
      <c r="K291" s="2" t="s">
        <v>223</v>
      </c>
      <c r="L291" s="2" t="s">
        <v>24</v>
      </c>
      <c r="M291" s="2" t="s">
        <v>36</v>
      </c>
      <c r="N291" s="2" t="s">
        <v>37</v>
      </c>
      <c r="O291" s="2" t="s">
        <v>47</v>
      </c>
      <c r="P291" s="2" t="s">
        <v>63</v>
      </c>
      <c r="Q291" s="2" t="s">
        <v>214</v>
      </c>
    </row>
    <row r="292" spans="1:17">
      <c r="A292" s="2" t="s">
        <v>527</v>
      </c>
      <c r="B292" s="2" t="str">
        <f>[1]Sheet1!M292</f>
        <v>男</v>
      </c>
      <c r="C292" s="3" t="str" cm="1">
        <f t="array" ref="C2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2" s="2" t="str">
        <f>MID([1]Sheet1!F292,FIND("(",[1]Sheet1!F292)+1,FIND("-",[1]Sheet1!F292)-FIND("(",[1]Sheet1!F292)-1)</f>
        <v>山东</v>
      </c>
      <c r="E292" s="2" t="str">
        <f>MID([1]Sheet1!F292,FIND("-",[1]Sheet1!F292)+1,FIND(")",[1]Sheet1!F292)-FIND("-",[1]Sheet1!F292)-1)</f>
        <v>泰安</v>
      </c>
      <c r="F292" s="2" t="s">
        <v>42</v>
      </c>
      <c r="G292" s="2" t="s">
        <v>50</v>
      </c>
      <c r="H292" s="2" t="s">
        <v>66</v>
      </c>
      <c r="I292" s="2" t="s">
        <v>51</v>
      </c>
      <c r="J292" s="2" t="s">
        <v>82</v>
      </c>
      <c r="K292" s="2" t="s">
        <v>121</v>
      </c>
      <c r="L292" s="2" t="s">
        <v>24</v>
      </c>
      <c r="M292" s="2" t="s">
        <v>57</v>
      </c>
      <c r="N292" s="2" t="s">
        <v>105</v>
      </c>
      <c r="O292" s="2" t="s">
        <v>204</v>
      </c>
      <c r="P292" s="2" t="s">
        <v>86</v>
      </c>
      <c r="Q292" s="2" t="s">
        <v>131</v>
      </c>
    </row>
    <row r="293" spans="1:17">
      <c r="A293" s="2" t="s">
        <v>536</v>
      </c>
      <c r="B293" s="2" t="str">
        <f>[1]Sheet1!M293</f>
        <v>男</v>
      </c>
      <c r="C293" s="3" t="str" cm="1">
        <f t="array" ref="C2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3" s="2" t="str">
        <f>MID([1]Sheet1!F293,FIND("(",[1]Sheet1!F293)+1,FIND("-",[1]Sheet1!F293)-FIND("(",[1]Sheet1!F293)-1)</f>
        <v>河南</v>
      </c>
      <c r="E293" s="2" t="str">
        <f>MID([1]Sheet1!F293,FIND("-",[1]Sheet1!F293)+1,FIND(")",[1]Sheet1!F293)-FIND("-",[1]Sheet1!F293)-1)</f>
        <v>开封</v>
      </c>
      <c r="F293" s="2" t="s">
        <v>31</v>
      </c>
      <c r="G293" s="2" t="s">
        <v>50</v>
      </c>
      <c r="H293" s="2" t="s">
        <v>66</v>
      </c>
      <c r="I293" s="2" t="s">
        <v>21</v>
      </c>
      <c r="J293" s="2" t="s">
        <v>56</v>
      </c>
      <c r="K293" s="2" t="s">
        <v>537</v>
      </c>
      <c r="L293" s="2" t="s">
        <v>83</v>
      </c>
      <c r="M293" s="2" t="s">
        <v>25</v>
      </c>
      <c r="N293" s="2" t="s">
        <v>37</v>
      </c>
      <c r="O293" s="2" t="s">
        <v>47</v>
      </c>
      <c r="P293" s="2" t="s">
        <v>39</v>
      </c>
      <c r="Q293" s="2" t="s">
        <v>370</v>
      </c>
    </row>
    <row r="294" spans="1:17">
      <c r="A294" s="2" t="s">
        <v>538</v>
      </c>
      <c r="B294" s="2" t="str">
        <f>[1]Sheet1!M294</f>
        <v>男</v>
      </c>
      <c r="C294" s="3" t="str" cm="1">
        <f t="array" ref="C2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294" s="2" t="str">
        <f>MID([1]Sheet1!F294,FIND("(",[1]Sheet1!F294)+1,FIND("-",[1]Sheet1!F294)-FIND("(",[1]Sheet1!F294)-1)</f>
        <v>江苏</v>
      </c>
      <c r="E294" s="2" t="str">
        <f>MID([1]Sheet1!F294,FIND("-",[1]Sheet1!F294)+1,FIND(")",[1]Sheet1!F294)-FIND("-",[1]Sheet1!F294)-1)</f>
        <v>南京</v>
      </c>
      <c r="F294" s="2" t="s">
        <v>42</v>
      </c>
      <c r="G294" s="2" t="s">
        <v>81</v>
      </c>
      <c r="H294" s="2" t="s">
        <v>66</v>
      </c>
      <c r="I294" s="2" t="s">
        <v>51</v>
      </c>
      <c r="J294" s="2" t="s">
        <v>22</v>
      </c>
      <c r="K294" s="2" t="s">
        <v>117</v>
      </c>
      <c r="L294" s="2" t="s">
        <v>24</v>
      </c>
      <c r="M294" s="2" t="s">
        <v>36</v>
      </c>
      <c r="N294" s="2" t="s">
        <v>37</v>
      </c>
      <c r="O294" s="2" t="s">
        <v>89</v>
      </c>
      <c r="P294" s="2" t="s">
        <v>59</v>
      </c>
      <c r="Q294" s="2" t="s">
        <v>101</v>
      </c>
    </row>
    <row r="295" spans="1:17">
      <c r="A295" s="2" t="s">
        <v>539</v>
      </c>
      <c r="B295" s="2" t="str">
        <f>[1]Sheet1!M295</f>
        <v>女</v>
      </c>
      <c r="C295" s="3" t="str" cm="1">
        <f t="array" ref="C2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5" s="2" t="str">
        <f>MID([1]Sheet1!F295,FIND("(",[1]Sheet1!F295)+1,FIND("-",[1]Sheet1!F295)-FIND("(",[1]Sheet1!F295)-1)</f>
        <v>山东</v>
      </c>
      <c r="E295" s="2" t="str">
        <f>MID([1]Sheet1!F295,FIND("-",[1]Sheet1!F295)+1,FIND(")",[1]Sheet1!F295)-FIND("-",[1]Sheet1!F295)-1)</f>
        <v>聊城</v>
      </c>
      <c r="F295" s="2" t="s">
        <v>70</v>
      </c>
      <c r="G295" s="2" t="s">
        <v>50</v>
      </c>
      <c r="H295" s="2" t="s">
        <v>66</v>
      </c>
      <c r="I295" s="2" t="s">
        <v>51</v>
      </c>
      <c r="J295" s="2" t="s">
        <v>82</v>
      </c>
      <c r="K295" s="2" t="s">
        <v>540</v>
      </c>
      <c r="L295" s="2" t="s">
        <v>24</v>
      </c>
      <c r="M295" s="2" t="s">
        <v>36</v>
      </c>
      <c r="N295" s="2" t="s">
        <v>37</v>
      </c>
      <c r="O295" s="2" t="s">
        <v>89</v>
      </c>
      <c r="P295" s="2" t="s">
        <v>28</v>
      </c>
      <c r="Q295" s="2" t="s">
        <v>60</v>
      </c>
    </row>
    <row r="296" spans="1:17">
      <c r="A296" s="2" t="s">
        <v>541</v>
      </c>
      <c r="B296" s="2" t="str">
        <f>[1]Sheet1!M296</f>
        <v>男</v>
      </c>
      <c r="C296" s="3" t="str" cm="1">
        <f t="array" ref="C2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6" s="2" t="str">
        <f>MID([1]Sheet1!F296,FIND("(",[1]Sheet1!F296)+1,FIND("-",[1]Sheet1!F296)-FIND("(",[1]Sheet1!F296)-1)</f>
        <v>山东</v>
      </c>
      <c r="E296" s="2" t="str">
        <f>MID([1]Sheet1!F296,FIND("-",[1]Sheet1!F296)+1,FIND(")",[1]Sheet1!F296)-FIND("-",[1]Sheet1!F296)-1)</f>
        <v>淄博</v>
      </c>
      <c r="F296" s="2" t="s">
        <v>42</v>
      </c>
      <c r="G296" s="2" t="s">
        <v>50</v>
      </c>
      <c r="H296" s="2" t="s">
        <v>20</v>
      </c>
      <c r="I296" s="2" t="s">
        <v>21</v>
      </c>
      <c r="J296" s="2" t="s">
        <v>22</v>
      </c>
      <c r="K296" s="2" t="s">
        <v>117</v>
      </c>
      <c r="L296" s="2" t="s">
        <v>24</v>
      </c>
      <c r="M296" s="2" t="s">
        <v>36</v>
      </c>
      <c r="N296" s="2" t="s">
        <v>37</v>
      </c>
      <c r="O296" s="2" t="s">
        <v>47</v>
      </c>
      <c r="P296" s="2" t="s">
        <v>59</v>
      </c>
      <c r="Q296" s="2" t="s">
        <v>133</v>
      </c>
    </row>
    <row r="297" spans="1:17">
      <c r="A297" s="2" t="s">
        <v>542</v>
      </c>
      <c r="B297" s="2" t="str">
        <f>[1]Sheet1!M297</f>
        <v>男</v>
      </c>
      <c r="C297" s="3" t="str" cm="1">
        <f t="array" ref="C2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7" s="2" t="str">
        <f>MID([1]Sheet1!F297,FIND("(",[1]Sheet1!F297)+1,FIND("-",[1]Sheet1!F297)-FIND("(",[1]Sheet1!F297)-1)</f>
        <v>河南</v>
      </c>
      <c r="E297" s="2" t="str">
        <f>MID([1]Sheet1!F297,FIND("-",[1]Sheet1!F297)+1,FIND(")",[1]Sheet1!F297)-FIND("-",[1]Sheet1!F297)-1)</f>
        <v>安阳</v>
      </c>
      <c r="F297" s="2" t="s">
        <v>88</v>
      </c>
      <c r="G297" s="2" t="s">
        <v>50</v>
      </c>
      <c r="H297" s="2" t="s">
        <v>20</v>
      </c>
      <c r="I297" s="2" t="s">
        <v>51</v>
      </c>
      <c r="J297" s="2" t="s">
        <v>56</v>
      </c>
      <c r="K297" s="2" t="s">
        <v>117</v>
      </c>
      <c r="L297" s="2" t="s">
        <v>24</v>
      </c>
      <c r="M297" s="2" t="s">
        <v>78</v>
      </c>
      <c r="N297" s="2" t="s">
        <v>37</v>
      </c>
      <c r="O297" s="2" t="s">
        <v>47</v>
      </c>
      <c r="P297" s="2" t="s">
        <v>179</v>
      </c>
      <c r="Q297" s="2" t="s">
        <v>68</v>
      </c>
    </row>
    <row r="298" spans="1:17">
      <c r="A298" s="2" t="s">
        <v>530</v>
      </c>
      <c r="B298" s="2" t="str">
        <f>[1]Sheet1!M298</f>
        <v>男</v>
      </c>
      <c r="C298" s="3" t="str" cm="1">
        <f t="array" ref="C2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8" s="2" t="str">
        <f>MID([1]Sheet1!F298,FIND("(",[1]Sheet1!F298)+1,FIND("-",[1]Sheet1!F298)-FIND("(",[1]Sheet1!F298)-1)</f>
        <v>山东</v>
      </c>
      <c r="E298" s="2" t="str">
        <f>MID([1]Sheet1!F298,FIND("-",[1]Sheet1!F298)+1,FIND(")",[1]Sheet1!F298)-FIND("-",[1]Sheet1!F298)-1)</f>
        <v>济南</v>
      </c>
      <c r="F298" s="2" t="s">
        <v>18</v>
      </c>
      <c r="G298" s="2" t="s">
        <v>50</v>
      </c>
      <c r="H298" s="2" t="s">
        <v>20</v>
      </c>
      <c r="I298" s="2" t="s">
        <v>21</v>
      </c>
      <c r="J298" s="2" t="s">
        <v>82</v>
      </c>
      <c r="K298" s="2" t="s">
        <v>121</v>
      </c>
      <c r="L298" s="2" t="s">
        <v>24</v>
      </c>
      <c r="M298" s="2" t="s">
        <v>67</v>
      </c>
      <c r="N298" s="2" t="s">
        <v>46</v>
      </c>
      <c r="O298" s="2" t="s">
        <v>62</v>
      </c>
      <c r="P298" s="2" t="s">
        <v>86</v>
      </c>
      <c r="Q298" s="2" t="s">
        <v>133</v>
      </c>
    </row>
    <row r="299" spans="1:17">
      <c r="A299" s="2" t="s">
        <v>543</v>
      </c>
      <c r="B299" s="2" t="str">
        <f>[1]Sheet1!M299</f>
        <v>男</v>
      </c>
      <c r="C299" s="3" t="str" cm="1">
        <f t="array" ref="C2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299)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299" s="2" t="str">
        <f>MID([1]Sheet1!F299,FIND("(",[1]Sheet1!F299)+1,FIND("-",[1]Sheet1!F299)-FIND("(",[1]Sheet1!F299)-1)</f>
        <v>山东</v>
      </c>
      <c r="E299" s="2" t="str">
        <f>MID([1]Sheet1!F299,FIND("-",[1]Sheet1!F299)+1,FIND(")",[1]Sheet1!F299)-FIND("-",[1]Sheet1!F299)-1)</f>
        <v>聊城</v>
      </c>
      <c r="F299" s="2" t="s">
        <v>31</v>
      </c>
      <c r="G299" s="2" t="s">
        <v>50</v>
      </c>
      <c r="H299" s="2" t="s">
        <v>20</v>
      </c>
      <c r="I299" s="2" t="s">
        <v>51</v>
      </c>
      <c r="J299" s="2" t="s">
        <v>56</v>
      </c>
      <c r="K299" s="2" t="s">
        <v>304</v>
      </c>
      <c r="L299" s="2" t="s">
        <v>24</v>
      </c>
      <c r="M299" s="2" t="s">
        <v>36</v>
      </c>
      <c r="N299" s="2" t="s">
        <v>37</v>
      </c>
      <c r="O299" s="2" t="s">
        <v>204</v>
      </c>
      <c r="P299" s="2" t="s">
        <v>175</v>
      </c>
      <c r="Q299" s="2" t="s">
        <v>172</v>
      </c>
    </row>
    <row r="300" spans="1:17">
      <c r="A300" s="2" t="s">
        <v>544</v>
      </c>
      <c r="B300" s="2" t="str">
        <f>[1]Sheet1!M300</f>
        <v>女</v>
      </c>
      <c r="C300" s="3" t="str" cm="1">
        <f t="array" ref="C3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00" s="2" t="str">
        <f>MID([1]Sheet1!F300,FIND("(",[1]Sheet1!F300)+1,FIND("-",[1]Sheet1!F300)-FIND("(",[1]Sheet1!F300)-1)</f>
        <v>北京</v>
      </c>
      <c r="E300" s="2" t="str">
        <f>MID([1]Sheet1!F300,FIND("-",[1]Sheet1!F300)+1,FIND(")",[1]Sheet1!F300)-FIND("-",[1]Sheet1!F300)-1)</f>
        <v>北京</v>
      </c>
      <c r="F300" s="2" t="s">
        <v>88</v>
      </c>
      <c r="G300" s="2" t="s">
        <v>32</v>
      </c>
      <c r="H300" s="2" t="s">
        <v>66</v>
      </c>
      <c r="I300" s="2" t="s">
        <v>51</v>
      </c>
      <c r="J300" s="2" t="s">
        <v>56</v>
      </c>
      <c r="K300" s="2" t="s">
        <v>115</v>
      </c>
      <c r="L300" s="2" t="s">
        <v>24</v>
      </c>
      <c r="M300" s="2" t="s">
        <v>57</v>
      </c>
      <c r="N300" s="2" t="s">
        <v>46</v>
      </c>
      <c r="O300" s="2" t="s">
        <v>545</v>
      </c>
      <c r="P300" s="2" t="s">
        <v>179</v>
      </c>
      <c r="Q300" s="2" t="s">
        <v>546</v>
      </c>
    </row>
    <row r="301" spans="1:17">
      <c r="A301" s="2" t="s">
        <v>277</v>
      </c>
      <c r="B301" s="2" t="str">
        <f>[1]Sheet1!M301</f>
        <v>男</v>
      </c>
      <c r="C301" s="3" t="str" cm="1">
        <f t="array" ref="C3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1" s="2" t="str">
        <f>MID([1]Sheet1!F301,FIND("(",[1]Sheet1!F301)+1,FIND("-",[1]Sheet1!F301)-FIND("(",[1]Sheet1!F301)-1)</f>
        <v>山东</v>
      </c>
      <c r="E301" s="2" t="str">
        <f>MID([1]Sheet1!F301,FIND("-",[1]Sheet1!F301)+1,FIND(")",[1]Sheet1!F301)-FIND("-",[1]Sheet1!F301)-1)</f>
        <v>济南</v>
      </c>
      <c r="F301" s="2" t="s">
        <v>18</v>
      </c>
      <c r="G301" s="2" t="s">
        <v>19</v>
      </c>
      <c r="H301" s="2" t="s">
        <v>55</v>
      </c>
      <c r="I301" s="2" t="s">
        <v>34</v>
      </c>
      <c r="J301" s="2" t="s">
        <v>96</v>
      </c>
      <c r="K301" s="2" t="s">
        <v>115</v>
      </c>
      <c r="L301" s="2" t="s">
        <v>83</v>
      </c>
      <c r="M301" s="2" t="s">
        <v>36</v>
      </c>
      <c r="N301" s="2" t="s">
        <v>37</v>
      </c>
      <c r="O301" s="2" t="s">
        <v>199</v>
      </c>
      <c r="P301" s="2" t="s">
        <v>63</v>
      </c>
      <c r="Q301" s="2" t="s">
        <v>40</v>
      </c>
    </row>
    <row r="302" spans="1:17">
      <c r="A302" s="2" t="s">
        <v>547</v>
      </c>
      <c r="B302" s="2" t="str">
        <f>[1]Sheet1!M302</f>
        <v>男</v>
      </c>
      <c r="C302" s="3" t="str" cm="1">
        <f t="array" ref="C3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2" s="2" t="str">
        <f>MID([1]Sheet1!F302,FIND("(",[1]Sheet1!F302)+1,FIND("-",[1]Sheet1!F302)-FIND("(",[1]Sheet1!F302)-1)</f>
        <v>山东</v>
      </c>
      <c r="E302" s="2" t="str">
        <f>MID([1]Sheet1!F302,FIND("-",[1]Sheet1!F302)+1,FIND(")",[1]Sheet1!F302)-FIND("-",[1]Sheet1!F302)-1)</f>
        <v>泰安</v>
      </c>
      <c r="F302" s="2" t="s">
        <v>42</v>
      </c>
      <c r="G302" s="2" t="s">
        <v>50</v>
      </c>
      <c r="H302" s="2" t="s">
        <v>20</v>
      </c>
      <c r="I302" s="2" t="s">
        <v>51</v>
      </c>
      <c r="J302" s="2" t="s">
        <v>44</v>
      </c>
      <c r="K302" s="2" t="s">
        <v>117</v>
      </c>
      <c r="L302" s="2" t="s">
        <v>24</v>
      </c>
      <c r="M302" s="2" t="s">
        <v>36</v>
      </c>
      <c r="N302" s="2" t="s">
        <v>37</v>
      </c>
      <c r="O302" s="2" t="s">
        <v>58</v>
      </c>
      <c r="P302" s="2" t="s">
        <v>179</v>
      </c>
      <c r="Q302" s="2" t="s">
        <v>60</v>
      </c>
    </row>
    <row r="303" spans="1:17">
      <c r="A303" s="2" t="s">
        <v>548</v>
      </c>
      <c r="B303" s="2" t="str">
        <f>[1]Sheet1!M303</f>
        <v>男</v>
      </c>
      <c r="C303" s="3" t="str" cm="1">
        <f t="array" ref="C3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03" s="2" t="str">
        <f>MID([1]Sheet1!F303,FIND("(",[1]Sheet1!F303)+1,FIND("-",[1]Sheet1!F303)-FIND("(",[1]Sheet1!F303)-1)</f>
        <v>黑龙江</v>
      </c>
      <c r="E303" s="2" t="str">
        <f>MID([1]Sheet1!F303,FIND("-",[1]Sheet1!F303)+1,FIND(")",[1]Sheet1!F303)-FIND("-",[1]Sheet1!F303)-1)</f>
        <v>哈尔滨</v>
      </c>
      <c r="F303" s="2" t="s">
        <v>88</v>
      </c>
      <c r="G303" s="2" t="s">
        <v>162</v>
      </c>
      <c r="H303" s="2" t="s">
        <v>33</v>
      </c>
      <c r="I303" s="2" t="s">
        <v>21</v>
      </c>
      <c r="J303" s="2" t="s">
        <v>77</v>
      </c>
      <c r="K303" s="2" t="s">
        <v>115</v>
      </c>
      <c r="L303" s="2" t="s">
        <v>24</v>
      </c>
      <c r="M303" s="2" t="s">
        <v>84</v>
      </c>
      <c r="N303" s="2" t="s">
        <v>85</v>
      </c>
      <c r="O303" s="2" t="s">
        <v>122</v>
      </c>
      <c r="P303" s="2" t="s">
        <v>86</v>
      </c>
      <c r="Q303" s="2" t="s">
        <v>160</v>
      </c>
    </row>
    <row r="304" spans="1:17">
      <c r="A304" s="2" t="s">
        <v>549</v>
      </c>
      <c r="B304" s="2" t="str">
        <f>[1]Sheet1!M304</f>
        <v>男</v>
      </c>
      <c r="C304" s="3" t="str" cm="1">
        <f t="array" ref="C3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04" s="2" t="str">
        <f>MID([1]Sheet1!F304,FIND("(",[1]Sheet1!F304)+1,FIND("-",[1]Sheet1!F304)-FIND("(",[1]Sheet1!F304)-1)</f>
        <v>浙江</v>
      </c>
      <c r="E304" s="2" t="str">
        <f>MID([1]Sheet1!F304,FIND("-",[1]Sheet1!F304)+1,FIND(")",[1]Sheet1!F304)-FIND("-",[1]Sheet1!F304)-1)</f>
        <v>杭州</v>
      </c>
      <c r="F304" s="2" t="s">
        <v>159</v>
      </c>
      <c r="G304" s="2" t="s">
        <v>81</v>
      </c>
      <c r="H304" s="2" t="s">
        <v>20</v>
      </c>
      <c r="I304" s="2" t="s">
        <v>211</v>
      </c>
      <c r="J304" s="2" t="s">
        <v>44</v>
      </c>
      <c r="K304" s="2" t="s">
        <v>130</v>
      </c>
      <c r="L304" s="2" t="s">
        <v>24</v>
      </c>
      <c r="M304" s="2" t="s">
        <v>36</v>
      </c>
      <c r="N304" s="2" t="s">
        <v>105</v>
      </c>
      <c r="O304" s="2" t="s">
        <v>27</v>
      </c>
      <c r="P304" s="2" t="s">
        <v>39</v>
      </c>
      <c r="Q304" s="2" t="s">
        <v>48</v>
      </c>
    </row>
    <row r="305" spans="1:17">
      <c r="A305" s="2" t="s">
        <v>394</v>
      </c>
      <c r="B305" s="2" t="str">
        <f>[1]Sheet1!M305</f>
        <v>男</v>
      </c>
      <c r="C305" s="3" t="str" cm="1">
        <f t="array" ref="C3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5" s="2" t="str">
        <f>MID([1]Sheet1!F305,FIND("(",[1]Sheet1!F305)+1,FIND("-",[1]Sheet1!F305)-FIND("(",[1]Sheet1!F305)-1)</f>
        <v>河南</v>
      </c>
      <c r="E305" s="2" t="str">
        <f>MID([1]Sheet1!F305,FIND("-",[1]Sheet1!F305)+1,FIND(")",[1]Sheet1!F305)-FIND("-",[1]Sheet1!F305)-1)</f>
        <v>郑州</v>
      </c>
      <c r="F305" s="2" t="s">
        <v>70</v>
      </c>
      <c r="G305" s="2" t="s">
        <v>162</v>
      </c>
      <c r="H305" s="2" t="s">
        <v>66</v>
      </c>
      <c r="I305" s="2" t="s">
        <v>21</v>
      </c>
      <c r="J305" s="2" t="s">
        <v>96</v>
      </c>
      <c r="K305" s="2" t="s">
        <v>121</v>
      </c>
      <c r="L305" s="2" t="s">
        <v>83</v>
      </c>
      <c r="M305" s="2" t="s">
        <v>36</v>
      </c>
      <c r="N305" s="2" t="s">
        <v>37</v>
      </c>
      <c r="O305" s="2" t="s">
        <v>47</v>
      </c>
      <c r="P305" s="2" t="s">
        <v>86</v>
      </c>
      <c r="Q305" s="2" t="s">
        <v>133</v>
      </c>
    </row>
    <row r="306" spans="1:17">
      <c r="A306" s="2" t="s">
        <v>550</v>
      </c>
      <c r="B306" s="2" t="str">
        <f>[1]Sheet1!M306</f>
        <v>男</v>
      </c>
      <c r="C306" s="3" t="str" cm="1">
        <f t="array" ref="C3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6" s="2" t="str">
        <f>MID([1]Sheet1!F306,FIND("(",[1]Sheet1!F306)+1,FIND("-",[1]Sheet1!F306)-FIND("(",[1]Sheet1!F306)-1)</f>
        <v>山东</v>
      </c>
      <c r="E306" s="2" t="str">
        <f>MID([1]Sheet1!F306,FIND("-",[1]Sheet1!F306)+1,FIND(")",[1]Sheet1!F306)-FIND("-",[1]Sheet1!F306)-1)</f>
        <v>临沂</v>
      </c>
      <c r="F306" s="2" t="s">
        <v>31</v>
      </c>
      <c r="G306" s="2" t="s">
        <v>50</v>
      </c>
      <c r="H306" s="2" t="s">
        <v>20</v>
      </c>
      <c r="I306" s="2" t="s">
        <v>21</v>
      </c>
      <c r="J306" s="2" t="s">
        <v>96</v>
      </c>
      <c r="K306" s="2" t="s">
        <v>121</v>
      </c>
      <c r="L306" s="2" t="s">
        <v>24</v>
      </c>
      <c r="M306" s="2" t="s">
        <v>36</v>
      </c>
      <c r="N306" s="2" t="s">
        <v>37</v>
      </c>
      <c r="O306" s="2" t="s">
        <v>202</v>
      </c>
      <c r="P306" s="2" t="s">
        <v>218</v>
      </c>
      <c r="Q306" s="2" t="s">
        <v>144</v>
      </c>
    </row>
    <row r="307" spans="1:17">
      <c r="A307" s="2" t="s">
        <v>551</v>
      </c>
      <c r="B307" s="2" t="str">
        <f>[1]Sheet1!M307</f>
        <v>男</v>
      </c>
      <c r="C307" s="3" t="str" cm="1">
        <f t="array" ref="C3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07" s="2" t="str">
        <f>MID([1]Sheet1!F307,FIND("(",[1]Sheet1!F307)+1,FIND("-",[1]Sheet1!F307)-FIND("(",[1]Sheet1!F307)-1)</f>
        <v>新疆</v>
      </c>
      <c r="E307" s="2" t="str">
        <f>MID([1]Sheet1!F307,FIND("-",[1]Sheet1!F307)+1,FIND(")",[1]Sheet1!F307)-FIND("-",[1]Sheet1!F307)-1)</f>
        <v>阿克苏</v>
      </c>
      <c r="F307" s="2" t="s">
        <v>18</v>
      </c>
      <c r="G307" s="2" t="s">
        <v>50</v>
      </c>
      <c r="H307" s="2" t="s">
        <v>66</v>
      </c>
      <c r="I307" s="2" t="s">
        <v>43</v>
      </c>
      <c r="J307" s="2" t="s">
        <v>96</v>
      </c>
      <c r="K307" s="2" t="s">
        <v>117</v>
      </c>
      <c r="L307" s="2" t="s">
        <v>24</v>
      </c>
      <c r="M307" s="2" t="s">
        <v>126</v>
      </c>
      <c r="N307" s="2" t="s">
        <v>37</v>
      </c>
      <c r="O307" s="2" t="s">
        <v>47</v>
      </c>
      <c r="P307" s="2" t="s">
        <v>39</v>
      </c>
      <c r="Q307" s="2" t="s">
        <v>321</v>
      </c>
    </row>
    <row r="308" spans="1:17">
      <c r="A308" s="2" t="s">
        <v>552</v>
      </c>
      <c r="B308" s="2" t="str">
        <f>[1]Sheet1!M308</f>
        <v>女</v>
      </c>
      <c r="C308" s="3" t="str" cm="1">
        <f t="array" ref="C3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8" s="2" t="str">
        <f>MID([1]Sheet1!F308,FIND("(",[1]Sheet1!F308)+1,FIND("-",[1]Sheet1!F308)-FIND("(",[1]Sheet1!F308)-1)</f>
        <v>河南</v>
      </c>
      <c r="E308" s="2" t="str">
        <f>MID([1]Sheet1!F308,FIND("-",[1]Sheet1!F308)+1,FIND(")",[1]Sheet1!F308)-FIND("-",[1]Sheet1!F308)-1)</f>
        <v>新乡</v>
      </c>
      <c r="F308" s="2" t="s">
        <v>42</v>
      </c>
      <c r="G308" s="2" t="s">
        <v>50</v>
      </c>
      <c r="H308" s="2" t="s">
        <v>20</v>
      </c>
      <c r="I308" s="2" t="s">
        <v>43</v>
      </c>
      <c r="J308" s="2" t="s">
        <v>82</v>
      </c>
      <c r="K308" s="2" t="s">
        <v>397</v>
      </c>
      <c r="L308" s="2" t="s">
        <v>24</v>
      </c>
      <c r="M308" s="2" t="s">
        <v>143</v>
      </c>
      <c r="N308" s="2" t="s">
        <v>85</v>
      </c>
      <c r="O308" s="2" t="s">
        <v>47</v>
      </c>
      <c r="P308" s="2" t="s">
        <v>39</v>
      </c>
      <c r="Q308" s="2" t="s">
        <v>133</v>
      </c>
    </row>
    <row r="309" spans="1:17">
      <c r="A309" s="2" t="s">
        <v>553</v>
      </c>
      <c r="B309" s="2" t="str">
        <f>[1]Sheet1!M309</f>
        <v>男</v>
      </c>
      <c r="C309" s="3" t="str" cm="1">
        <f t="array" ref="C3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09" s="2" t="str">
        <f>MID([1]Sheet1!F309,FIND("(",[1]Sheet1!F309)+1,FIND("-",[1]Sheet1!F309)-FIND("(",[1]Sheet1!F309)-1)</f>
        <v>山东</v>
      </c>
      <c r="E309" s="2" t="str">
        <f>MID([1]Sheet1!F309,FIND("-",[1]Sheet1!F309)+1,FIND(")",[1]Sheet1!F309)-FIND("-",[1]Sheet1!F309)-1)</f>
        <v>济南</v>
      </c>
      <c r="F309" s="2" t="s">
        <v>18</v>
      </c>
      <c r="G309" s="2" t="s">
        <v>32</v>
      </c>
      <c r="H309" s="2" t="s">
        <v>55</v>
      </c>
      <c r="I309" s="2" t="s">
        <v>34</v>
      </c>
      <c r="J309" s="2" t="s">
        <v>96</v>
      </c>
      <c r="K309" s="2" t="s">
        <v>130</v>
      </c>
      <c r="L309" s="2" t="s">
        <v>24</v>
      </c>
      <c r="M309" s="2" t="s">
        <v>25</v>
      </c>
      <c r="N309" s="2" t="s">
        <v>37</v>
      </c>
      <c r="O309" s="2" t="s">
        <v>47</v>
      </c>
      <c r="P309" s="2" t="s">
        <v>86</v>
      </c>
      <c r="Q309" s="2" t="s">
        <v>48</v>
      </c>
    </row>
    <row r="310" spans="1:17">
      <c r="A310" s="2" t="s">
        <v>554</v>
      </c>
      <c r="B310" s="2" t="str">
        <f>[1]Sheet1!M310</f>
        <v>男</v>
      </c>
      <c r="C310" s="3" t="str" cm="1">
        <f t="array" ref="C3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10" s="2" t="str">
        <f>MID([1]Sheet1!F310,FIND("(",[1]Sheet1!F310)+1,FIND("-",[1]Sheet1!F310)-FIND("(",[1]Sheet1!F310)-1)</f>
        <v>贵州</v>
      </c>
      <c r="E310" s="2" t="str">
        <f>MID([1]Sheet1!F310,FIND("-",[1]Sheet1!F310)+1,FIND(")",[1]Sheet1!F310)-FIND("-",[1]Sheet1!F310)-1)</f>
        <v>贵阳</v>
      </c>
      <c r="F310" s="2" t="s">
        <v>18</v>
      </c>
      <c r="G310" s="2" t="s">
        <v>32</v>
      </c>
      <c r="H310" s="2" t="s">
        <v>66</v>
      </c>
      <c r="I310" s="2" t="s">
        <v>21</v>
      </c>
      <c r="J310" s="2" t="s">
        <v>22</v>
      </c>
      <c r="K310" s="2" t="s">
        <v>117</v>
      </c>
      <c r="L310" s="2" t="s">
        <v>24</v>
      </c>
      <c r="M310" s="2" t="s">
        <v>25</v>
      </c>
      <c r="N310" s="2" t="s">
        <v>37</v>
      </c>
      <c r="O310" s="2" t="s">
        <v>58</v>
      </c>
      <c r="P310" s="2" t="s">
        <v>59</v>
      </c>
      <c r="Q310" s="2" t="s">
        <v>555</v>
      </c>
    </row>
    <row r="311" spans="1:17">
      <c r="A311" s="2" t="s">
        <v>556</v>
      </c>
      <c r="B311" s="2" t="str">
        <f>[1]Sheet1!M311</f>
        <v>女</v>
      </c>
      <c r="C311" s="3" t="str" cm="1">
        <f t="array" ref="C3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1" s="2" t="str">
        <f>MID([1]Sheet1!F311,FIND("(",[1]Sheet1!F311)+1,FIND("-",[1]Sheet1!F311)-FIND("(",[1]Sheet1!F311)-1)</f>
        <v>山东</v>
      </c>
      <c r="E311" s="2" t="str">
        <f>MID([1]Sheet1!F311,FIND("-",[1]Sheet1!F311)+1,FIND(")",[1]Sheet1!F311)-FIND("-",[1]Sheet1!F311)-1)</f>
        <v>德州</v>
      </c>
      <c r="F311" s="2" t="s">
        <v>70</v>
      </c>
      <c r="G311" s="2" t="s">
        <v>162</v>
      </c>
      <c r="H311" s="2" t="s">
        <v>66</v>
      </c>
      <c r="I311" s="2" t="s">
        <v>120</v>
      </c>
      <c r="J311" s="2" t="s">
        <v>77</v>
      </c>
      <c r="K311" s="2" t="s">
        <v>169</v>
      </c>
      <c r="L311" s="2" t="s">
        <v>24</v>
      </c>
      <c r="M311" s="2" t="s">
        <v>45</v>
      </c>
      <c r="N311" s="2" t="s">
        <v>46</v>
      </c>
      <c r="O311" s="2" t="s">
        <v>47</v>
      </c>
      <c r="P311" s="2" t="s">
        <v>39</v>
      </c>
      <c r="Q311" s="2" t="s">
        <v>310</v>
      </c>
    </row>
    <row r="312" spans="1:17">
      <c r="A312" s="2" t="s">
        <v>557</v>
      </c>
      <c r="B312" s="2" t="str">
        <f>[1]Sheet1!M312</f>
        <v>男</v>
      </c>
      <c r="C312" s="3" t="str" cm="1">
        <f t="array" ref="C3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2" s="2" t="str">
        <f>MID([1]Sheet1!F312,FIND("(",[1]Sheet1!F312)+1,FIND("-",[1]Sheet1!F312)-FIND("(",[1]Sheet1!F312)-1)</f>
        <v>河南</v>
      </c>
      <c r="E312" s="2" t="str">
        <f>MID([1]Sheet1!F312,FIND("-",[1]Sheet1!F312)+1,FIND(")",[1]Sheet1!F312)-FIND("-",[1]Sheet1!F312)-1)</f>
        <v>濮阳</v>
      </c>
      <c r="F312" s="2" t="s">
        <v>159</v>
      </c>
      <c r="G312" s="2" t="s">
        <v>19</v>
      </c>
      <c r="H312" s="2" t="s">
        <v>66</v>
      </c>
      <c r="I312" s="2" t="s">
        <v>51</v>
      </c>
      <c r="J312" s="2" t="s">
        <v>82</v>
      </c>
      <c r="K312" s="2" t="s">
        <v>115</v>
      </c>
      <c r="L312" s="2" t="s">
        <v>24</v>
      </c>
      <c r="M312" s="2" t="s">
        <v>25</v>
      </c>
      <c r="N312" s="2" t="s">
        <v>26</v>
      </c>
      <c r="O312" s="2" t="s">
        <v>301</v>
      </c>
      <c r="P312" s="2" t="s">
        <v>86</v>
      </c>
      <c r="Q312" s="2" t="s">
        <v>328</v>
      </c>
    </row>
    <row r="313" spans="1:17">
      <c r="A313" s="2" t="s">
        <v>558</v>
      </c>
      <c r="B313" s="2" t="str">
        <f>[1]Sheet1!M313</f>
        <v>男</v>
      </c>
      <c r="C313" s="3" t="str" cm="1">
        <f t="array" ref="C3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3" s="2" t="str">
        <f>MID([1]Sheet1!F313,FIND("(",[1]Sheet1!F313)+1,FIND("-",[1]Sheet1!F313)-FIND("(",[1]Sheet1!F313)-1)</f>
        <v>河南</v>
      </c>
      <c r="E313" s="2" t="str">
        <f>MID([1]Sheet1!F313,FIND("-",[1]Sheet1!F313)+1,FIND(")",[1]Sheet1!F313)-FIND("-",[1]Sheet1!F313)-1)</f>
        <v>郑州</v>
      </c>
      <c r="F313" s="2" t="s">
        <v>18</v>
      </c>
      <c r="G313" s="2" t="s">
        <v>50</v>
      </c>
      <c r="H313" s="2" t="s">
        <v>20</v>
      </c>
      <c r="I313" s="2" t="s">
        <v>51</v>
      </c>
      <c r="J313" s="2" t="s">
        <v>82</v>
      </c>
      <c r="K313" s="2" t="s">
        <v>495</v>
      </c>
      <c r="L313" s="2" t="s">
        <v>83</v>
      </c>
      <c r="M313" s="2" t="s">
        <v>36</v>
      </c>
      <c r="N313" s="2" t="s">
        <v>26</v>
      </c>
      <c r="O313" s="2" t="s">
        <v>47</v>
      </c>
      <c r="P313" s="2" t="s">
        <v>39</v>
      </c>
      <c r="Q313" s="2" t="s">
        <v>200</v>
      </c>
    </row>
    <row r="314" spans="1:17">
      <c r="A314" s="2" t="s">
        <v>559</v>
      </c>
      <c r="B314" s="2" t="str">
        <f>[1]Sheet1!M314</f>
        <v>男</v>
      </c>
      <c r="C314" s="3" t="str" cm="1">
        <f t="array" ref="C3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14" s="2" t="str">
        <f>MID([1]Sheet1!F314,FIND("(",[1]Sheet1!F314)+1,FIND("-",[1]Sheet1!F314)-FIND("(",[1]Sheet1!F314)-1)</f>
        <v>江苏</v>
      </c>
      <c r="E314" s="2" t="str">
        <f>MID([1]Sheet1!F314,FIND("-",[1]Sheet1!F314)+1,FIND(")",[1]Sheet1!F314)-FIND("-",[1]Sheet1!F314)-1)</f>
        <v>徐州</v>
      </c>
      <c r="F314" s="2" t="s">
        <v>42</v>
      </c>
      <c r="G314" s="2" t="s">
        <v>162</v>
      </c>
      <c r="H314" s="2" t="s">
        <v>66</v>
      </c>
      <c r="I314" s="2" t="s">
        <v>21</v>
      </c>
      <c r="J314" s="2" t="s">
        <v>22</v>
      </c>
      <c r="K314" s="2" t="s">
        <v>130</v>
      </c>
      <c r="L314" s="2" t="s">
        <v>24</v>
      </c>
      <c r="M314" s="2" t="s">
        <v>36</v>
      </c>
      <c r="N314" s="2" t="s">
        <v>37</v>
      </c>
      <c r="O314" s="2" t="s">
        <v>89</v>
      </c>
      <c r="P314" s="2" t="s">
        <v>28</v>
      </c>
      <c r="Q314" s="2" t="s">
        <v>160</v>
      </c>
    </row>
    <row r="315" spans="1:17">
      <c r="A315" s="2" t="s">
        <v>560</v>
      </c>
      <c r="B315" s="2" t="str">
        <f>[1]Sheet1!M315</f>
        <v>男</v>
      </c>
      <c r="C315" s="3" t="str" cm="1">
        <f t="array" ref="C3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15" s="2" t="str">
        <f>MID([1]Sheet1!F315,FIND("(",[1]Sheet1!F315)+1,FIND("-",[1]Sheet1!F315)-FIND("(",[1]Sheet1!F315)-1)</f>
        <v>北京</v>
      </c>
      <c r="E315" s="2" t="str">
        <f>MID([1]Sheet1!F315,FIND("-",[1]Sheet1!F315)+1,FIND(")",[1]Sheet1!F315)-FIND("-",[1]Sheet1!F315)-1)</f>
        <v>北京</v>
      </c>
      <c r="F315" s="2" t="s">
        <v>31</v>
      </c>
      <c r="G315" s="2" t="s">
        <v>19</v>
      </c>
      <c r="H315" s="2" t="s">
        <v>66</v>
      </c>
      <c r="I315" s="2" t="s">
        <v>51</v>
      </c>
      <c r="J315" s="2" t="s">
        <v>56</v>
      </c>
      <c r="K315" s="2" t="s">
        <v>115</v>
      </c>
      <c r="L315" s="2" t="s">
        <v>24</v>
      </c>
      <c r="M315" s="2" t="s">
        <v>71</v>
      </c>
      <c r="N315" s="2" t="s">
        <v>37</v>
      </c>
      <c r="O315" s="2" t="s">
        <v>47</v>
      </c>
      <c r="P315" s="2" t="s">
        <v>28</v>
      </c>
      <c r="Q315" s="2" t="s">
        <v>561</v>
      </c>
    </row>
    <row r="316" spans="1:17">
      <c r="A316" s="2" t="s">
        <v>562</v>
      </c>
      <c r="B316" s="2" t="str">
        <f>[1]Sheet1!M316</f>
        <v>男</v>
      </c>
      <c r="C316" s="3" t="str" cm="1">
        <f t="array" ref="C3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6" s="2" t="str">
        <f>MID([1]Sheet1!F316,FIND("(",[1]Sheet1!F316)+1,FIND("-",[1]Sheet1!F316)-FIND("(",[1]Sheet1!F316)-1)</f>
        <v>山东</v>
      </c>
      <c r="E316" s="2" t="str">
        <f>MID([1]Sheet1!F316,FIND("-",[1]Sheet1!F316)+1,FIND(")",[1]Sheet1!F316)-FIND("-",[1]Sheet1!F316)-1)</f>
        <v>济南</v>
      </c>
      <c r="F316" s="2" t="s">
        <v>159</v>
      </c>
      <c r="G316" s="2" t="s">
        <v>81</v>
      </c>
      <c r="H316" s="2" t="s">
        <v>33</v>
      </c>
      <c r="I316" s="2" t="s">
        <v>51</v>
      </c>
      <c r="J316" s="2" t="s">
        <v>77</v>
      </c>
      <c r="K316" s="2" t="s">
        <v>115</v>
      </c>
      <c r="L316" s="2" t="s">
        <v>24</v>
      </c>
      <c r="M316" s="2" t="s">
        <v>84</v>
      </c>
      <c r="N316" s="2" t="s">
        <v>26</v>
      </c>
      <c r="O316" s="2" t="s">
        <v>89</v>
      </c>
      <c r="P316" s="2" t="s">
        <v>59</v>
      </c>
      <c r="Q316" s="2" t="s">
        <v>29</v>
      </c>
    </row>
    <row r="317" spans="1:17">
      <c r="A317" s="2" t="s">
        <v>563</v>
      </c>
      <c r="B317" s="2" t="str">
        <f>[1]Sheet1!M317</f>
        <v>男</v>
      </c>
      <c r="C317" s="3" t="str" cm="1">
        <f t="array" ref="C3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17" s="2" t="str">
        <f>MID([1]Sheet1!F317,FIND("(",[1]Sheet1!F317)+1,FIND("-",[1]Sheet1!F317)-FIND("(",[1]Sheet1!F317)-1)</f>
        <v>江苏</v>
      </c>
      <c r="E317" s="2" t="str">
        <f>MID([1]Sheet1!F317,FIND("-",[1]Sheet1!F317)+1,FIND(")",[1]Sheet1!F317)-FIND("-",[1]Sheet1!F317)-1)</f>
        <v>南京</v>
      </c>
      <c r="F317" s="2" t="s">
        <v>42</v>
      </c>
      <c r="G317" s="2" t="s">
        <v>32</v>
      </c>
      <c r="H317" s="2" t="s">
        <v>66</v>
      </c>
      <c r="I317" s="2" t="s">
        <v>51</v>
      </c>
      <c r="J317" s="2" t="s">
        <v>82</v>
      </c>
      <c r="K317" s="2" t="s">
        <v>115</v>
      </c>
      <c r="L317" s="2" t="s">
        <v>24</v>
      </c>
      <c r="M317" s="2" t="s">
        <v>36</v>
      </c>
      <c r="N317" s="2" t="s">
        <v>37</v>
      </c>
      <c r="O317" s="2" t="s">
        <v>58</v>
      </c>
      <c r="P317" s="2" t="s">
        <v>28</v>
      </c>
      <c r="Q317" s="2" t="s">
        <v>564</v>
      </c>
    </row>
    <row r="318" spans="1:17">
      <c r="A318" s="2" t="s">
        <v>563</v>
      </c>
      <c r="B318" s="2" t="str">
        <f>[1]Sheet1!M318</f>
        <v>男</v>
      </c>
      <c r="C318" s="3" t="str" cm="1">
        <f t="array" ref="C3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18" s="2" t="str">
        <f>MID([1]Sheet1!F318,FIND("(",[1]Sheet1!F318)+1,FIND("-",[1]Sheet1!F318)-FIND("(",[1]Sheet1!F318)-1)</f>
        <v>江苏</v>
      </c>
      <c r="E318" s="2" t="str">
        <f>MID([1]Sheet1!F318,FIND("-",[1]Sheet1!F318)+1,FIND(")",[1]Sheet1!F318)-FIND("-",[1]Sheet1!F318)-1)</f>
        <v>南京</v>
      </c>
      <c r="F318" s="2" t="s">
        <v>42</v>
      </c>
      <c r="G318" s="2" t="s">
        <v>32</v>
      </c>
      <c r="H318" s="2" t="s">
        <v>66</v>
      </c>
      <c r="I318" s="2" t="s">
        <v>51</v>
      </c>
      <c r="J318" s="2" t="s">
        <v>82</v>
      </c>
      <c r="K318" s="2" t="s">
        <v>115</v>
      </c>
      <c r="L318" s="2" t="s">
        <v>24</v>
      </c>
      <c r="M318" s="2" t="s">
        <v>36</v>
      </c>
      <c r="N318" s="2" t="s">
        <v>37</v>
      </c>
      <c r="O318" s="2" t="s">
        <v>58</v>
      </c>
      <c r="P318" s="2" t="s">
        <v>28</v>
      </c>
      <c r="Q318" s="2" t="s">
        <v>564</v>
      </c>
    </row>
    <row r="319" spans="1:17">
      <c r="A319" s="2" t="s">
        <v>565</v>
      </c>
      <c r="B319" s="2" t="str">
        <f>[1]Sheet1!M319</f>
        <v>男</v>
      </c>
      <c r="C319" s="3" t="str" cm="1">
        <f t="array" ref="C3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19" s="2" t="str">
        <f>MID([1]Sheet1!F319,FIND("(",[1]Sheet1!F319)+1,FIND("-",[1]Sheet1!F319)-FIND("(",[1]Sheet1!F319)-1)</f>
        <v>河南</v>
      </c>
      <c r="E319" s="2" t="str">
        <f>MID([1]Sheet1!F319,FIND("-",[1]Sheet1!F319)+1,FIND(")",[1]Sheet1!F319)-FIND("-",[1]Sheet1!F319)-1)</f>
        <v>濮阳</v>
      </c>
      <c r="F319" s="2" t="s">
        <v>42</v>
      </c>
      <c r="G319" s="2" t="s">
        <v>50</v>
      </c>
      <c r="H319" s="2" t="s">
        <v>20</v>
      </c>
      <c r="I319" s="2" t="s">
        <v>21</v>
      </c>
      <c r="J319" s="2" t="s">
        <v>82</v>
      </c>
      <c r="K319" s="2" t="s">
        <v>115</v>
      </c>
      <c r="L319" s="2" t="s">
        <v>83</v>
      </c>
      <c r="M319" s="2" t="s">
        <v>36</v>
      </c>
      <c r="N319" s="2" t="s">
        <v>37</v>
      </c>
      <c r="O319" s="2" t="s">
        <v>58</v>
      </c>
      <c r="P319" s="2" t="s">
        <v>86</v>
      </c>
      <c r="Q319" s="2" t="s">
        <v>566</v>
      </c>
    </row>
    <row r="320" spans="1:17">
      <c r="A320" s="2" t="s">
        <v>567</v>
      </c>
      <c r="B320" s="2" t="str">
        <f>[1]Sheet1!M320</f>
        <v>男</v>
      </c>
      <c r="C320" s="3" t="str" cm="1">
        <f t="array" ref="C3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20" s="2" t="str">
        <f>MID([1]Sheet1!F320,FIND("(",[1]Sheet1!F320)+1,FIND("-",[1]Sheet1!F320)-FIND("(",[1]Sheet1!F320)-1)</f>
        <v>山东</v>
      </c>
      <c r="E320" s="2" t="str">
        <f>MID([1]Sheet1!F320,FIND("-",[1]Sheet1!F320)+1,FIND(")",[1]Sheet1!F320)-FIND("-",[1]Sheet1!F320)-1)</f>
        <v>淄博</v>
      </c>
      <c r="F320" s="2" t="s">
        <v>159</v>
      </c>
      <c r="G320" s="2" t="s">
        <v>81</v>
      </c>
      <c r="H320" s="2" t="s">
        <v>66</v>
      </c>
      <c r="I320" s="2" t="s">
        <v>43</v>
      </c>
      <c r="J320" s="2" t="s">
        <v>56</v>
      </c>
      <c r="K320" s="2" t="s">
        <v>121</v>
      </c>
      <c r="L320" s="2" t="s">
        <v>24</v>
      </c>
      <c r="M320" s="2" t="s">
        <v>78</v>
      </c>
      <c r="N320" s="2" t="s">
        <v>37</v>
      </c>
      <c r="O320" s="2" t="s">
        <v>47</v>
      </c>
      <c r="P320" s="2" t="s">
        <v>86</v>
      </c>
      <c r="Q320" s="2" t="s">
        <v>172</v>
      </c>
    </row>
    <row r="321" spans="1:17">
      <c r="A321" s="2" t="s">
        <v>568</v>
      </c>
      <c r="B321" s="2" t="str">
        <f>[1]Sheet1!M321</f>
        <v>男</v>
      </c>
      <c r="C321" s="3" t="str" cm="1">
        <f t="array" ref="C3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21" s="2" t="str">
        <f>MID([1]Sheet1!F321,FIND("(",[1]Sheet1!F321)+1,FIND("-",[1]Sheet1!F321)-FIND("(",[1]Sheet1!F321)-1)</f>
        <v>山东</v>
      </c>
      <c r="E321" s="2" t="str">
        <f>MID([1]Sheet1!F321,FIND("-",[1]Sheet1!F321)+1,FIND(")",[1]Sheet1!F321)-FIND("-",[1]Sheet1!F321)-1)</f>
        <v>济宁</v>
      </c>
      <c r="F321" s="2" t="s">
        <v>42</v>
      </c>
      <c r="G321" s="2" t="s">
        <v>81</v>
      </c>
      <c r="H321" s="2" t="s">
        <v>33</v>
      </c>
      <c r="I321" s="2" t="s">
        <v>43</v>
      </c>
      <c r="J321" s="2" t="s">
        <v>44</v>
      </c>
      <c r="K321" s="2" t="s">
        <v>121</v>
      </c>
      <c r="L321" s="2" t="s">
        <v>24</v>
      </c>
      <c r="M321" s="2" t="s">
        <v>36</v>
      </c>
      <c r="N321" s="2" t="s">
        <v>37</v>
      </c>
      <c r="O321" s="2" t="s">
        <v>47</v>
      </c>
      <c r="P321" s="2" t="s">
        <v>28</v>
      </c>
      <c r="Q321" s="2" t="s">
        <v>101</v>
      </c>
    </row>
    <row r="322" spans="1:17">
      <c r="A322" s="2" t="s">
        <v>569</v>
      </c>
      <c r="B322" s="2" t="str">
        <f>[1]Sheet1!M322</f>
        <v>男</v>
      </c>
      <c r="C322" s="3" t="str" cm="1">
        <f t="array" ref="C3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22" s="2" t="str">
        <f>MID([1]Sheet1!F322,FIND("(",[1]Sheet1!F322)+1,FIND("-",[1]Sheet1!F322)-FIND("(",[1]Sheet1!F322)-1)</f>
        <v>陕西</v>
      </c>
      <c r="E322" s="2" t="str">
        <f>MID([1]Sheet1!F322,FIND("-",[1]Sheet1!F322)+1,FIND(")",[1]Sheet1!F322)-FIND("-",[1]Sheet1!F322)-1)</f>
        <v>西安</v>
      </c>
      <c r="F322" s="2" t="s">
        <v>18</v>
      </c>
      <c r="G322" s="2" t="s">
        <v>81</v>
      </c>
      <c r="H322" s="2" t="s">
        <v>20</v>
      </c>
      <c r="I322" s="2" t="s">
        <v>43</v>
      </c>
      <c r="J322" s="2" t="s">
        <v>44</v>
      </c>
      <c r="K322" s="2" t="s">
        <v>121</v>
      </c>
      <c r="L322" s="2" t="s">
        <v>24</v>
      </c>
      <c r="M322" s="2" t="s">
        <v>36</v>
      </c>
      <c r="N322" s="2" t="s">
        <v>26</v>
      </c>
      <c r="O322" s="2" t="s">
        <v>202</v>
      </c>
      <c r="P322" s="2" t="s">
        <v>218</v>
      </c>
      <c r="Q322" s="2" t="s">
        <v>570</v>
      </c>
    </row>
    <row r="323" spans="1:17">
      <c r="A323" s="2" t="s">
        <v>571</v>
      </c>
      <c r="B323" s="2" t="str">
        <f>[1]Sheet1!M323</f>
        <v>男</v>
      </c>
      <c r="C323" s="3" t="str" cm="1">
        <f t="array" ref="C3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23" s="2" t="str">
        <f>MID([1]Sheet1!F323,FIND("(",[1]Sheet1!F323)+1,FIND("-",[1]Sheet1!F323)-FIND("(",[1]Sheet1!F323)-1)</f>
        <v>新疆</v>
      </c>
      <c r="E323" s="2" t="str">
        <f>MID([1]Sheet1!F323,FIND("-",[1]Sheet1!F323)+1,FIND(")",[1]Sheet1!F323)-FIND("-",[1]Sheet1!F323)-1)</f>
        <v>乌鲁木齐</v>
      </c>
      <c r="F323" s="2" t="s">
        <v>42</v>
      </c>
      <c r="G323" s="2" t="s">
        <v>50</v>
      </c>
      <c r="H323" s="2" t="s">
        <v>20</v>
      </c>
      <c r="I323" s="2" t="s">
        <v>21</v>
      </c>
      <c r="J323" s="2" t="s">
        <v>22</v>
      </c>
      <c r="K323" s="2" t="s">
        <v>217</v>
      </c>
      <c r="L323" s="2" t="s">
        <v>24</v>
      </c>
      <c r="M323" s="2" t="s">
        <v>36</v>
      </c>
      <c r="N323" s="2" t="s">
        <v>37</v>
      </c>
      <c r="O323" s="2" t="s">
        <v>47</v>
      </c>
      <c r="P323" s="2" t="s">
        <v>86</v>
      </c>
      <c r="Q323" s="2" t="s">
        <v>48</v>
      </c>
    </row>
    <row r="324" spans="1:17">
      <c r="A324" s="2" t="s">
        <v>572</v>
      </c>
      <c r="B324" s="2" t="str">
        <f>[1]Sheet1!M324</f>
        <v>男</v>
      </c>
      <c r="C324" s="3" t="str" cm="1">
        <f t="array" ref="C3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24" s="2" t="str">
        <f>MID([1]Sheet1!F324,FIND("(",[1]Sheet1!F324)+1,FIND("-",[1]Sheet1!F324)-FIND("(",[1]Sheet1!F324)-1)</f>
        <v>贵州</v>
      </c>
      <c r="E324" s="2" t="str">
        <f>MID([1]Sheet1!F324,FIND("-",[1]Sheet1!F324)+1,FIND(")",[1]Sheet1!F324)-FIND("-",[1]Sheet1!F324)-1)</f>
        <v>贵阳</v>
      </c>
      <c r="F324" s="2" t="s">
        <v>18</v>
      </c>
      <c r="G324" s="2" t="s">
        <v>50</v>
      </c>
      <c r="H324" s="2" t="s">
        <v>66</v>
      </c>
      <c r="I324" s="2" t="s">
        <v>51</v>
      </c>
      <c r="J324" s="2" t="s">
        <v>82</v>
      </c>
      <c r="K324" s="2" t="s">
        <v>130</v>
      </c>
      <c r="L324" s="2" t="s">
        <v>24</v>
      </c>
      <c r="M324" s="2" t="s">
        <v>143</v>
      </c>
      <c r="N324" s="2" t="s">
        <v>46</v>
      </c>
      <c r="O324" s="2" t="s">
        <v>573</v>
      </c>
      <c r="P324" s="2" t="s">
        <v>59</v>
      </c>
      <c r="Q324" s="2" t="s">
        <v>68</v>
      </c>
    </row>
    <row r="325" spans="1:17">
      <c r="A325" s="2" t="s">
        <v>574</v>
      </c>
      <c r="B325" s="2" t="str">
        <f>[1]Sheet1!M325</f>
        <v>女</v>
      </c>
      <c r="C325" s="3" t="str" cm="1">
        <f t="array" ref="C3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25" s="2" t="str">
        <f>MID([1]Sheet1!F325,FIND("(",[1]Sheet1!F325)+1,FIND("-",[1]Sheet1!F325)-FIND("(",[1]Sheet1!F325)-1)</f>
        <v>河南</v>
      </c>
      <c r="E325" s="2" t="str">
        <f>MID([1]Sheet1!F325,FIND("-",[1]Sheet1!F325)+1,FIND(")",[1]Sheet1!F325)-FIND("-",[1]Sheet1!F325)-1)</f>
        <v>开封</v>
      </c>
      <c r="F325" s="2" t="s">
        <v>88</v>
      </c>
      <c r="G325" s="2" t="s">
        <v>81</v>
      </c>
      <c r="H325" s="2" t="s">
        <v>33</v>
      </c>
      <c r="I325" s="2" t="s">
        <v>21</v>
      </c>
      <c r="J325" s="2" t="s">
        <v>77</v>
      </c>
      <c r="K325" s="2" t="s">
        <v>130</v>
      </c>
      <c r="L325" s="2" t="s">
        <v>24</v>
      </c>
      <c r="M325" s="2" t="s">
        <v>111</v>
      </c>
      <c r="N325" s="2" t="s">
        <v>37</v>
      </c>
      <c r="O325" s="2" t="s">
        <v>47</v>
      </c>
      <c r="P325" s="2" t="s">
        <v>59</v>
      </c>
      <c r="Q325" s="2" t="s">
        <v>356</v>
      </c>
    </row>
    <row r="326" spans="1:17">
      <c r="A326" s="2" t="s">
        <v>575</v>
      </c>
      <c r="B326" s="2" t="str">
        <f>[1]Sheet1!M326</f>
        <v>男</v>
      </c>
      <c r="C326" s="3" t="str" cm="1">
        <f t="array" ref="C3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26" s="2" t="str">
        <f>MID([1]Sheet1!F326,FIND("(",[1]Sheet1!F326)+1,FIND("-",[1]Sheet1!F326)-FIND("(",[1]Sheet1!F326)-1)</f>
        <v>福建</v>
      </c>
      <c r="E326" s="2" t="str">
        <f>MID([1]Sheet1!F326,FIND("-",[1]Sheet1!F326)+1,FIND(")",[1]Sheet1!F326)-FIND("-",[1]Sheet1!F326)-1)</f>
        <v>泉州</v>
      </c>
      <c r="F326" s="2" t="s">
        <v>18</v>
      </c>
      <c r="G326" s="2" t="s">
        <v>19</v>
      </c>
      <c r="H326" s="2" t="s">
        <v>20</v>
      </c>
      <c r="I326" s="2" t="s">
        <v>51</v>
      </c>
      <c r="J326" s="2" t="s">
        <v>22</v>
      </c>
      <c r="K326" s="2" t="s">
        <v>117</v>
      </c>
      <c r="L326" s="2" t="s">
        <v>24</v>
      </c>
      <c r="M326" s="2" t="s">
        <v>25</v>
      </c>
      <c r="N326" s="2" t="s">
        <v>37</v>
      </c>
      <c r="O326" s="2" t="s">
        <v>47</v>
      </c>
      <c r="P326" s="2" t="s">
        <v>86</v>
      </c>
      <c r="Q326" s="2" t="s">
        <v>576</v>
      </c>
    </row>
    <row r="327" spans="1:17">
      <c r="A327" s="2" t="s">
        <v>577</v>
      </c>
      <c r="B327" s="2" t="str">
        <f>[1]Sheet1!M327</f>
        <v>女</v>
      </c>
      <c r="C327" s="3" t="str" cm="1">
        <f t="array" ref="C3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27" s="2" t="str">
        <f>MID([1]Sheet1!F327,FIND("(",[1]Sheet1!F327)+1,FIND("-",[1]Sheet1!F327)-FIND("(",[1]Sheet1!F327)-1)</f>
        <v>四川</v>
      </c>
      <c r="E327" s="2" t="str">
        <f>MID([1]Sheet1!F327,FIND("-",[1]Sheet1!F327)+1,FIND(")",[1]Sheet1!F327)-FIND("-",[1]Sheet1!F327)-1)</f>
        <v>成都</v>
      </c>
      <c r="F327" s="2" t="s">
        <v>42</v>
      </c>
      <c r="G327" s="2" t="s">
        <v>50</v>
      </c>
      <c r="H327" s="2" t="s">
        <v>20</v>
      </c>
      <c r="I327" s="2" t="s">
        <v>21</v>
      </c>
      <c r="J327" s="2" t="s">
        <v>82</v>
      </c>
      <c r="K327" s="2" t="s">
        <v>117</v>
      </c>
      <c r="L327" s="2" t="s">
        <v>24</v>
      </c>
      <c r="M327" s="2" t="s">
        <v>36</v>
      </c>
      <c r="N327" s="2" t="s">
        <v>37</v>
      </c>
      <c r="O327" s="2" t="s">
        <v>47</v>
      </c>
      <c r="P327" s="2" t="s">
        <v>112</v>
      </c>
      <c r="Q327" s="2" t="s">
        <v>566</v>
      </c>
    </row>
    <row r="328" spans="1:17">
      <c r="A328" s="2" t="s">
        <v>578</v>
      </c>
      <c r="B328" s="2" t="str">
        <f>[1]Sheet1!M328</f>
        <v>男</v>
      </c>
      <c r="C328" s="3" t="str" cm="1">
        <f t="array" ref="C3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28" s="2" t="str">
        <f>MID([1]Sheet1!F328,FIND("(",[1]Sheet1!F328)+1,FIND("-",[1]Sheet1!F328)-FIND("(",[1]Sheet1!F328)-1)</f>
        <v>山东</v>
      </c>
      <c r="E328" s="2" t="str">
        <f>MID([1]Sheet1!F328,FIND("-",[1]Sheet1!F328)+1,FIND(")",[1]Sheet1!F328)-FIND("-",[1]Sheet1!F328)-1)</f>
        <v>济南</v>
      </c>
      <c r="F328" s="2" t="s">
        <v>42</v>
      </c>
      <c r="G328" s="2" t="s">
        <v>50</v>
      </c>
      <c r="H328" s="2" t="s">
        <v>66</v>
      </c>
      <c r="I328" s="2" t="s">
        <v>21</v>
      </c>
      <c r="J328" s="2" t="s">
        <v>77</v>
      </c>
      <c r="K328" s="2" t="s">
        <v>117</v>
      </c>
      <c r="L328" s="2" t="s">
        <v>24</v>
      </c>
      <c r="M328" s="2" t="s">
        <v>36</v>
      </c>
      <c r="N328" s="2" t="s">
        <v>37</v>
      </c>
      <c r="O328" s="2" t="s">
        <v>47</v>
      </c>
      <c r="P328" s="2" t="s">
        <v>86</v>
      </c>
      <c r="Q328" s="2" t="s">
        <v>157</v>
      </c>
    </row>
    <row r="329" spans="1:17">
      <c r="A329" s="2" t="s">
        <v>579</v>
      </c>
      <c r="B329" s="2" t="str">
        <f>[1]Sheet1!M329</f>
        <v>男</v>
      </c>
      <c r="C329" s="3" t="str" cm="1">
        <f t="array" ref="C3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29" s="2" t="str">
        <f>MID([1]Sheet1!F329,FIND("(",[1]Sheet1!F329)+1,FIND("-",[1]Sheet1!F329)-FIND("(",[1]Sheet1!F329)-1)</f>
        <v>河南</v>
      </c>
      <c r="E329" s="2" t="str">
        <f>MID([1]Sheet1!F329,FIND("-",[1]Sheet1!F329)+1,FIND(")",[1]Sheet1!F329)-FIND("-",[1]Sheet1!F329)-1)</f>
        <v>濮阳</v>
      </c>
      <c r="F329" s="2" t="s">
        <v>31</v>
      </c>
      <c r="G329" s="2" t="s">
        <v>50</v>
      </c>
      <c r="H329" s="2" t="s">
        <v>66</v>
      </c>
      <c r="I329" s="2" t="s">
        <v>34</v>
      </c>
      <c r="J329" s="2" t="s">
        <v>35</v>
      </c>
      <c r="K329" s="2" t="s">
        <v>121</v>
      </c>
      <c r="L329" s="2" t="s">
        <v>24</v>
      </c>
      <c r="M329" s="2" t="s">
        <v>36</v>
      </c>
      <c r="N329" s="2" t="s">
        <v>37</v>
      </c>
      <c r="O329" s="2" t="s">
        <v>202</v>
      </c>
      <c r="P329" s="2" t="s">
        <v>63</v>
      </c>
      <c r="Q329" s="2" t="s">
        <v>68</v>
      </c>
    </row>
    <row r="330" spans="1:17">
      <c r="A330" s="2" t="s">
        <v>580</v>
      </c>
      <c r="B330" s="2" t="str">
        <f>[1]Sheet1!M330</f>
        <v>男</v>
      </c>
      <c r="C330" s="3" t="str" cm="1">
        <f t="array" ref="C3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30" s="2" t="str">
        <f>MID([1]Sheet1!F330,FIND("(",[1]Sheet1!F330)+1,FIND("-",[1]Sheet1!F330)-FIND("(",[1]Sheet1!F330)-1)</f>
        <v>河南</v>
      </c>
      <c r="E330" s="2" t="str">
        <f>MID([1]Sheet1!F330,FIND("-",[1]Sheet1!F330)+1,FIND(")",[1]Sheet1!F330)-FIND("-",[1]Sheet1!F330)-1)</f>
        <v>平顶山</v>
      </c>
      <c r="F330" s="2" t="s">
        <v>88</v>
      </c>
      <c r="G330" s="2" t="s">
        <v>32</v>
      </c>
      <c r="H330" s="2" t="s">
        <v>66</v>
      </c>
      <c r="I330" s="2" t="s">
        <v>43</v>
      </c>
      <c r="J330" s="2" t="s">
        <v>56</v>
      </c>
      <c r="K330" s="2" t="s">
        <v>130</v>
      </c>
      <c r="L330" s="2" t="s">
        <v>24</v>
      </c>
      <c r="M330" s="2" t="s">
        <v>67</v>
      </c>
      <c r="N330" s="2" t="s">
        <v>37</v>
      </c>
      <c r="O330" s="2" t="s">
        <v>47</v>
      </c>
      <c r="P330" s="2" t="s">
        <v>39</v>
      </c>
      <c r="Q330" s="2" t="s">
        <v>183</v>
      </c>
    </row>
    <row r="331" spans="1:17">
      <c r="A331" s="2" t="s">
        <v>581</v>
      </c>
      <c r="B331" s="2" t="str">
        <f>[1]Sheet1!M331</f>
        <v>女</v>
      </c>
      <c r="C331" s="3" t="str" cm="1">
        <f t="array" ref="C3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31" s="2" t="str">
        <f>MID([1]Sheet1!F331,FIND("(",[1]Sheet1!F331)+1,FIND("-",[1]Sheet1!F331)-FIND("(",[1]Sheet1!F331)-1)</f>
        <v>河南</v>
      </c>
      <c r="E331" s="2" t="str">
        <f>MID([1]Sheet1!F331,FIND("-",[1]Sheet1!F331)+1,FIND(")",[1]Sheet1!F331)-FIND("-",[1]Sheet1!F331)-1)</f>
        <v>郑州</v>
      </c>
      <c r="F331" s="2" t="s">
        <v>70</v>
      </c>
      <c r="G331" s="2" t="s">
        <v>32</v>
      </c>
      <c r="H331" s="2" t="s">
        <v>20</v>
      </c>
      <c r="I331" s="2" t="s">
        <v>21</v>
      </c>
      <c r="J331" s="2" t="s">
        <v>22</v>
      </c>
      <c r="K331" s="2" t="s">
        <v>240</v>
      </c>
      <c r="L331" s="2" t="s">
        <v>24</v>
      </c>
      <c r="M331" s="2" t="s">
        <v>36</v>
      </c>
      <c r="N331" s="2" t="s">
        <v>26</v>
      </c>
      <c r="O331" s="2" t="s">
        <v>47</v>
      </c>
      <c r="P331" s="2" t="s">
        <v>39</v>
      </c>
      <c r="Q331" s="2" t="s">
        <v>172</v>
      </c>
    </row>
    <row r="332" spans="1:17">
      <c r="A332" s="2" t="s">
        <v>582</v>
      </c>
      <c r="B332" s="2" t="str">
        <f>[1]Sheet1!M332</f>
        <v>女</v>
      </c>
      <c r="C332" s="3" t="str" cm="1">
        <f t="array" ref="C3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32" s="2" t="str">
        <f>MID([1]Sheet1!F332,FIND("(",[1]Sheet1!F332)+1,FIND("-",[1]Sheet1!F332)-FIND("(",[1]Sheet1!F332)-1)</f>
        <v>河南</v>
      </c>
      <c r="E332" s="2" t="str">
        <f>MID([1]Sheet1!F332,FIND("-",[1]Sheet1!F332)+1,FIND(")",[1]Sheet1!F332)-FIND("-",[1]Sheet1!F332)-1)</f>
        <v>郑州</v>
      </c>
      <c r="F332" s="2" t="s">
        <v>70</v>
      </c>
      <c r="G332" s="2" t="s">
        <v>114</v>
      </c>
      <c r="H332" s="2" t="s">
        <v>66</v>
      </c>
      <c r="I332" s="2" t="s">
        <v>51</v>
      </c>
      <c r="J332" s="2" t="s">
        <v>77</v>
      </c>
      <c r="K332" s="2" t="s">
        <v>121</v>
      </c>
      <c r="L332" s="2" t="s">
        <v>24</v>
      </c>
      <c r="M332" s="2" t="s">
        <v>57</v>
      </c>
      <c r="N332" s="2" t="s">
        <v>85</v>
      </c>
      <c r="O332" s="2" t="s">
        <v>106</v>
      </c>
      <c r="P332" s="2" t="s">
        <v>85</v>
      </c>
      <c r="Q332" s="2" t="s">
        <v>75</v>
      </c>
    </row>
    <row r="333" spans="1:17">
      <c r="A333" s="2" t="s">
        <v>583</v>
      </c>
      <c r="B333" s="2" t="str">
        <f>[1]Sheet1!M333</f>
        <v>男</v>
      </c>
      <c r="C333" s="3" t="str" cm="1">
        <f t="array" ref="C3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33" s="2" t="str">
        <f>MID([1]Sheet1!F333,FIND("(",[1]Sheet1!F333)+1,FIND("-",[1]Sheet1!F333)-FIND("(",[1]Sheet1!F333)-1)</f>
        <v>山东</v>
      </c>
      <c r="E333" s="2" t="str">
        <f>MID([1]Sheet1!F333,FIND("-",[1]Sheet1!F333)+1,FIND(")",[1]Sheet1!F333)-FIND("-",[1]Sheet1!F333)-1)</f>
        <v>青岛</v>
      </c>
      <c r="F333" s="2" t="s">
        <v>159</v>
      </c>
      <c r="G333" s="2" t="s">
        <v>50</v>
      </c>
      <c r="H333" s="2" t="s">
        <v>66</v>
      </c>
      <c r="I333" s="2" t="s">
        <v>21</v>
      </c>
      <c r="J333" s="2" t="s">
        <v>56</v>
      </c>
      <c r="K333" s="2" t="s">
        <v>115</v>
      </c>
      <c r="L333" s="2" t="s">
        <v>24</v>
      </c>
      <c r="M333" s="2" t="s">
        <v>78</v>
      </c>
      <c r="N333" s="2" t="s">
        <v>26</v>
      </c>
      <c r="O333" s="2" t="s">
        <v>47</v>
      </c>
      <c r="P333" s="2" t="s">
        <v>39</v>
      </c>
      <c r="Q333" s="2" t="s">
        <v>172</v>
      </c>
    </row>
    <row r="334" spans="1:17">
      <c r="A334" s="2" t="s">
        <v>584</v>
      </c>
      <c r="B334" s="2" t="str">
        <f>[1]Sheet1!M334</f>
        <v>男</v>
      </c>
      <c r="C334" s="3" t="str" cm="1">
        <f t="array" ref="C3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34" s="2" t="str">
        <f>MID([1]Sheet1!F334,FIND("(",[1]Sheet1!F334)+1,FIND("-",[1]Sheet1!F334)-FIND("(",[1]Sheet1!F334)-1)</f>
        <v>四川</v>
      </c>
      <c r="E334" s="2" t="str">
        <f>MID([1]Sheet1!F334,FIND("-",[1]Sheet1!F334)+1,FIND(")",[1]Sheet1!F334)-FIND("-",[1]Sheet1!F334)-1)</f>
        <v>成都</v>
      </c>
      <c r="F334" s="2" t="s">
        <v>42</v>
      </c>
      <c r="G334" s="2" t="s">
        <v>50</v>
      </c>
      <c r="H334" s="2" t="s">
        <v>55</v>
      </c>
      <c r="I334" s="2" t="s">
        <v>120</v>
      </c>
      <c r="J334" s="2" t="s">
        <v>82</v>
      </c>
      <c r="K334" s="2" t="s">
        <v>121</v>
      </c>
      <c r="L334" s="2" t="s">
        <v>24</v>
      </c>
      <c r="M334" s="2" t="s">
        <v>78</v>
      </c>
      <c r="N334" s="2" t="s">
        <v>37</v>
      </c>
      <c r="O334" s="2" t="s">
        <v>47</v>
      </c>
      <c r="P334" s="2" t="s">
        <v>39</v>
      </c>
      <c r="Q334" s="2" t="s">
        <v>400</v>
      </c>
    </row>
    <row r="335" spans="1:17">
      <c r="A335" s="2" t="s">
        <v>585</v>
      </c>
      <c r="B335" s="2" t="str">
        <f>[1]Sheet1!M335</f>
        <v>女</v>
      </c>
      <c r="C335" s="3" t="str" cm="1">
        <f t="array" ref="C3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35" s="2" t="str">
        <f>MID([1]Sheet1!F335,FIND("(",[1]Sheet1!F335)+1,FIND("-",[1]Sheet1!F335)-FIND("(",[1]Sheet1!F335)-1)</f>
        <v>山西</v>
      </c>
      <c r="E335" s="2" t="str">
        <f>MID([1]Sheet1!F335,FIND("-",[1]Sheet1!F335)+1,FIND(")",[1]Sheet1!F335)-FIND("-",[1]Sheet1!F335)-1)</f>
        <v>运城</v>
      </c>
      <c r="F335" s="2" t="s">
        <v>31</v>
      </c>
      <c r="G335" s="2" t="s">
        <v>50</v>
      </c>
      <c r="H335" s="2" t="s">
        <v>20</v>
      </c>
      <c r="I335" s="2" t="s">
        <v>21</v>
      </c>
      <c r="J335" s="2" t="s">
        <v>56</v>
      </c>
      <c r="K335" s="2" t="s">
        <v>121</v>
      </c>
      <c r="L335" s="2" t="s">
        <v>24</v>
      </c>
      <c r="M335" s="2" t="s">
        <v>36</v>
      </c>
      <c r="N335" s="2" t="s">
        <v>37</v>
      </c>
      <c r="O335" s="2" t="s">
        <v>122</v>
      </c>
      <c r="P335" s="2" t="s">
        <v>218</v>
      </c>
      <c r="Q335" s="2" t="s">
        <v>183</v>
      </c>
    </row>
    <row r="336" spans="1:17">
      <c r="A336" s="2" t="s">
        <v>586</v>
      </c>
      <c r="B336" s="2" t="str">
        <f>[1]Sheet1!M336</f>
        <v>女</v>
      </c>
      <c r="C336" s="3" t="str" cm="1">
        <f t="array" ref="C3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36" s="2" t="str">
        <f>MID([1]Sheet1!F336,FIND("(",[1]Sheet1!F336)+1,FIND("-",[1]Sheet1!F336)-FIND("(",[1]Sheet1!F336)-1)</f>
        <v>江苏</v>
      </c>
      <c r="E336" s="2" t="str">
        <f>MID([1]Sheet1!F336,FIND("-",[1]Sheet1!F336)+1,FIND(")",[1]Sheet1!F336)-FIND("-",[1]Sheet1!F336)-1)</f>
        <v>连云港</v>
      </c>
      <c r="F336" s="2" t="s">
        <v>18</v>
      </c>
      <c r="G336" s="2" t="s">
        <v>81</v>
      </c>
      <c r="H336" s="2" t="s">
        <v>20</v>
      </c>
      <c r="I336" s="2" t="s">
        <v>21</v>
      </c>
      <c r="J336" s="2" t="s">
        <v>44</v>
      </c>
      <c r="K336" s="2" t="s">
        <v>117</v>
      </c>
      <c r="L336" s="2" t="s">
        <v>24</v>
      </c>
      <c r="M336" s="2" t="s">
        <v>143</v>
      </c>
      <c r="N336" s="2" t="s">
        <v>46</v>
      </c>
      <c r="O336" s="2" t="s">
        <v>47</v>
      </c>
      <c r="P336" s="2" t="s">
        <v>86</v>
      </c>
      <c r="Q336" s="2" t="s">
        <v>259</v>
      </c>
    </row>
    <row r="337" spans="1:17">
      <c r="A337" s="2" t="s">
        <v>587</v>
      </c>
      <c r="B337" s="2" t="str">
        <f>[1]Sheet1!M337</f>
        <v>男</v>
      </c>
      <c r="C337" s="3" t="str" cm="1">
        <f t="array" ref="C3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37" s="2" t="str">
        <f>MID([1]Sheet1!F337,FIND("(",[1]Sheet1!F337)+1,FIND("-",[1]Sheet1!F337)-FIND("(",[1]Sheet1!F337)-1)</f>
        <v>北京</v>
      </c>
      <c r="E337" s="2" t="str">
        <f>MID([1]Sheet1!F337,FIND("-",[1]Sheet1!F337)+1,FIND(")",[1]Sheet1!F337)-FIND("-",[1]Sheet1!F337)-1)</f>
        <v>北京</v>
      </c>
      <c r="F337" s="2" t="s">
        <v>18</v>
      </c>
      <c r="G337" s="2" t="s">
        <v>114</v>
      </c>
      <c r="H337" s="2" t="s">
        <v>33</v>
      </c>
      <c r="I337" s="2" t="s">
        <v>21</v>
      </c>
      <c r="J337" s="2" t="s">
        <v>22</v>
      </c>
      <c r="K337" s="2" t="s">
        <v>217</v>
      </c>
      <c r="L337" s="2" t="s">
        <v>83</v>
      </c>
      <c r="M337" s="2" t="s">
        <v>36</v>
      </c>
      <c r="N337" s="2" t="s">
        <v>37</v>
      </c>
      <c r="O337" s="2" t="s">
        <v>89</v>
      </c>
      <c r="P337" s="2" t="s">
        <v>39</v>
      </c>
      <c r="Q337" s="2" t="s">
        <v>588</v>
      </c>
    </row>
    <row r="338" spans="1:17">
      <c r="A338" s="2" t="s">
        <v>589</v>
      </c>
      <c r="B338" s="2" t="str">
        <f>[1]Sheet1!M338</f>
        <v>男</v>
      </c>
      <c r="C338" s="3" t="str" cm="1">
        <f t="array" ref="C3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38" s="2" t="str">
        <f>MID([1]Sheet1!F338,FIND("(",[1]Sheet1!F338)+1,FIND("-",[1]Sheet1!F338)-FIND("(",[1]Sheet1!F338)-1)</f>
        <v>重庆</v>
      </c>
      <c r="E338" s="2" t="str">
        <f>MID([1]Sheet1!F338,FIND("-",[1]Sheet1!F338)+1,FIND(")",[1]Sheet1!F338)-FIND("-",[1]Sheet1!F338)-1)</f>
        <v>重庆</v>
      </c>
      <c r="F338" s="2" t="s">
        <v>42</v>
      </c>
      <c r="G338" s="2" t="s">
        <v>81</v>
      </c>
      <c r="H338" s="2" t="s">
        <v>66</v>
      </c>
      <c r="I338" s="2" t="s">
        <v>43</v>
      </c>
      <c r="J338" s="2" t="s">
        <v>82</v>
      </c>
      <c r="K338" s="2" t="s">
        <v>121</v>
      </c>
      <c r="L338" s="2" t="s">
        <v>83</v>
      </c>
      <c r="M338" s="2" t="s">
        <v>36</v>
      </c>
      <c r="N338" s="2" t="s">
        <v>105</v>
      </c>
      <c r="O338" s="2" t="s">
        <v>58</v>
      </c>
      <c r="P338" s="2" t="s">
        <v>39</v>
      </c>
      <c r="Q338" s="2" t="s">
        <v>48</v>
      </c>
    </row>
    <row r="339" spans="1:17">
      <c r="A339" s="2" t="s">
        <v>590</v>
      </c>
      <c r="B339" s="2" t="str">
        <f>[1]Sheet1!M339</f>
        <v>男</v>
      </c>
      <c r="C339" s="3" t="str" cm="1">
        <f t="array" ref="C3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39" s="2" t="str">
        <f>MID([1]Sheet1!F339,FIND("(",[1]Sheet1!F339)+1,FIND("-",[1]Sheet1!F339)-FIND("(",[1]Sheet1!F339)-1)</f>
        <v>黑龙江</v>
      </c>
      <c r="E339" s="2" t="str">
        <f>MID([1]Sheet1!F339,FIND("-",[1]Sheet1!F339)+1,FIND(")",[1]Sheet1!F339)-FIND("-",[1]Sheet1!F339)-1)</f>
        <v>黑河</v>
      </c>
      <c r="F339" s="2" t="s">
        <v>31</v>
      </c>
      <c r="G339" s="2" t="s">
        <v>50</v>
      </c>
      <c r="H339" s="2" t="s">
        <v>66</v>
      </c>
      <c r="I339" s="2" t="s">
        <v>51</v>
      </c>
      <c r="J339" s="2" t="s">
        <v>96</v>
      </c>
      <c r="K339" s="2" t="s">
        <v>121</v>
      </c>
      <c r="L339" s="2" t="s">
        <v>24</v>
      </c>
      <c r="M339" s="2" t="s">
        <v>57</v>
      </c>
      <c r="N339" s="2" t="s">
        <v>105</v>
      </c>
      <c r="O339" s="2" t="s">
        <v>545</v>
      </c>
      <c r="P339" s="2" t="s">
        <v>179</v>
      </c>
      <c r="Q339" s="2" t="s">
        <v>172</v>
      </c>
    </row>
    <row r="340" spans="1:17">
      <c r="A340" s="2" t="s">
        <v>591</v>
      </c>
      <c r="B340" s="2" t="str">
        <f>[1]Sheet1!M340</f>
        <v>男</v>
      </c>
      <c r="C340" s="3" t="str" cm="1">
        <f t="array" ref="C3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40" s="2" t="str">
        <f>MID([1]Sheet1!F340,FIND("(",[1]Sheet1!F340)+1,FIND("-",[1]Sheet1!F340)-FIND("(",[1]Sheet1!F340)-1)</f>
        <v>辽宁</v>
      </c>
      <c r="E340" s="2" t="str">
        <f>MID([1]Sheet1!F340,FIND("-",[1]Sheet1!F340)+1,FIND(")",[1]Sheet1!F340)-FIND("-",[1]Sheet1!F340)-1)</f>
        <v>辽阳</v>
      </c>
      <c r="F340" s="2" t="s">
        <v>42</v>
      </c>
      <c r="G340" s="2" t="s">
        <v>32</v>
      </c>
      <c r="H340" s="2" t="s">
        <v>66</v>
      </c>
      <c r="I340" s="2" t="s">
        <v>21</v>
      </c>
      <c r="J340" s="2" t="s">
        <v>44</v>
      </c>
      <c r="K340" s="2" t="s">
        <v>537</v>
      </c>
      <c r="L340" s="2" t="s">
        <v>24</v>
      </c>
      <c r="M340" s="2" t="s">
        <v>36</v>
      </c>
      <c r="N340" s="2" t="s">
        <v>37</v>
      </c>
      <c r="O340" s="2" t="s">
        <v>373</v>
      </c>
      <c r="P340" s="2" t="s">
        <v>39</v>
      </c>
      <c r="Q340" s="2" t="s">
        <v>123</v>
      </c>
    </row>
    <row r="341" spans="1:17">
      <c r="A341" s="2" t="s">
        <v>477</v>
      </c>
      <c r="B341" s="2" t="str">
        <f>[1]Sheet1!M341</f>
        <v>男</v>
      </c>
      <c r="C341" s="3" t="str" cm="1">
        <f t="array" ref="C3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41" s="2" t="str">
        <f>MID([1]Sheet1!F341,FIND("(",[1]Sheet1!F341)+1,FIND("-",[1]Sheet1!F341)-FIND("(",[1]Sheet1!F341)-1)</f>
        <v>陕西</v>
      </c>
      <c r="E341" s="2" t="str">
        <f>MID([1]Sheet1!F341,FIND("-",[1]Sheet1!F341)+1,FIND(")",[1]Sheet1!F341)-FIND("-",[1]Sheet1!F341)-1)</f>
        <v>咸阳</v>
      </c>
      <c r="F341" s="2" t="s">
        <v>42</v>
      </c>
      <c r="G341" s="2" t="s">
        <v>32</v>
      </c>
      <c r="H341" s="2" t="s">
        <v>55</v>
      </c>
      <c r="I341" s="2" t="s">
        <v>51</v>
      </c>
      <c r="J341" s="2" t="s">
        <v>77</v>
      </c>
      <c r="K341" s="2" t="s">
        <v>121</v>
      </c>
      <c r="L341" s="2" t="s">
        <v>24</v>
      </c>
      <c r="M341" s="2" t="s">
        <v>126</v>
      </c>
      <c r="N341" s="2" t="s">
        <v>37</v>
      </c>
      <c r="O341" s="2" t="s">
        <v>89</v>
      </c>
      <c r="P341" s="2" t="s">
        <v>179</v>
      </c>
      <c r="Q341" s="2" t="s">
        <v>214</v>
      </c>
    </row>
    <row r="342" spans="1:17">
      <c r="A342" s="2" t="s">
        <v>592</v>
      </c>
      <c r="B342" s="2" t="str">
        <f>[1]Sheet1!M342</f>
        <v>女</v>
      </c>
      <c r="C342" s="3" t="str" cm="1">
        <f t="array" ref="C3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42" s="2" t="str">
        <f>MID([1]Sheet1!F342,FIND("(",[1]Sheet1!F342)+1,FIND("-",[1]Sheet1!F342)-FIND("(",[1]Sheet1!F342)-1)</f>
        <v>四川</v>
      </c>
      <c r="E342" s="2" t="str">
        <f>MID([1]Sheet1!F342,FIND("-",[1]Sheet1!F342)+1,FIND(")",[1]Sheet1!F342)-FIND("-",[1]Sheet1!F342)-1)</f>
        <v>成都</v>
      </c>
      <c r="F342" s="2" t="s">
        <v>42</v>
      </c>
      <c r="G342" s="2" t="s">
        <v>50</v>
      </c>
      <c r="H342" s="2" t="s">
        <v>66</v>
      </c>
      <c r="I342" s="2" t="s">
        <v>211</v>
      </c>
      <c r="J342" s="2" t="s">
        <v>82</v>
      </c>
      <c r="K342" s="2" t="s">
        <v>117</v>
      </c>
      <c r="L342" s="2" t="s">
        <v>24</v>
      </c>
      <c r="M342" s="2" t="s">
        <v>25</v>
      </c>
      <c r="N342" s="2" t="s">
        <v>26</v>
      </c>
      <c r="O342" s="2" t="s">
        <v>47</v>
      </c>
      <c r="P342" s="2" t="s">
        <v>39</v>
      </c>
      <c r="Q342" s="2" t="s">
        <v>195</v>
      </c>
    </row>
    <row r="343" spans="1:17">
      <c r="A343" s="2" t="s">
        <v>395</v>
      </c>
      <c r="B343" s="2" t="str">
        <f>[1]Sheet1!M343</f>
        <v>男</v>
      </c>
      <c r="C343" s="3" t="str" cm="1">
        <f t="array" ref="C3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43" s="2" t="str">
        <f>MID([1]Sheet1!F343,FIND("(",[1]Sheet1!F343)+1,FIND("-",[1]Sheet1!F343)-FIND("(",[1]Sheet1!F343)-1)</f>
        <v>辽宁</v>
      </c>
      <c r="E343" s="2" t="str">
        <f>MID([1]Sheet1!F343,FIND("-",[1]Sheet1!F343)+1,FIND(")",[1]Sheet1!F343)-FIND("-",[1]Sheet1!F343)-1)</f>
        <v>沈阳</v>
      </c>
      <c r="F343" s="2" t="s">
        <v>159</v>
      </c>
      <c r="G343" s="2" t="s">
        <v>50</v>
      </c>
      <c r="H343" s="2" t="s">
        <v>66</v>
      </c>
      <c r="I343" s="2" t="s">
        <v>120</v>
      </c>
      <c r="J343" s="2" t="s">
        <v>82</v>
      </c>
      <c r="K343" s="2" t="s">
        <v>115</v>
      </c>
      <c r="L343" s="2" t="s">
        <v>24</v>
      </c>
      <c r="M343" s="2" t="s">
        <v>36</v>
      </c>
      <c r="N343" s="2" t="s">
        <v>37</v>
      </c>
      <c r="O343" s="2" t="s">
        <v>545</v>
      </c>
      <c r="P343" s="2" t="s">
        <v>179</v>
      </c>
      <c r="Q343" s="2" t="s">
        <v>593</v>
      </c>
    </row>
    <row r="344" spans="1:17">
      <c r="A344" s="2" t="s">
        <v>594</v>
      </c>
      <c r="B344" s="2" t="str">
        <f>[1]Sheet1!M344</f>
        <v>男</v>
      </c>
      <c r="C344" s="3" t="str" cm="1">
        <f t="array" ref="C3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44" s="2" t="str">
        <f>MID([1]Sheet1!F344,FIND("(",[1]Sheet1!F344)+1,FIND("-",[1]Sheet1!F344)-FIND("(",[1]Sheet1!F344)-1)</f>
        <v>山东</v>
      </c>
      <c r="E344" s="2" t="str">
        <f>MID([1]Sheet1!F344,FIND("-",[1]Sheet1!F344)+1,FIND(")",[1]Sheet1!F344)-FIND("-",[1]Sheet1!F344)-1)</f>
        <v>临沂</v>
      </c>
      <c r="F344" s="2" t="s">
        <v>31</v>
      </c>
      <c r="G344" s="2" t="s">
        <v>19</v>
      </c>
      <c r="H344" s="2" t="s">
        <v>66</v>
      </c>
      <c r="I344" s="2" t="s">
        <v>73</v>
      </c>
      <c r="J344" s="2" t="s">
        <v>35</v>
      </c>
      <c r="K344" s="2" t="s">
        <v>117</v>
      </c>
      <c r="L344" s="2" t="s">
        <v>24</v>
      </c>
      <c r="M344" s="2" t="s">
        <v>25</v>
      </c>
      <c r="N344" s="2" t="s">
        <v>37</v>
      </c>
      <c r="O344" s="2" t="s">
        <v>27</v>
      </c>
      <c r="P344" s="2" t="s">
        <v>86</v>
      </c>
      <c r="Q344" s="2" t="s">
        <v>29</v>
      </c>
    </row>
    <row r="345" spans="1:17">
      <c r="A345" s="2" t="s">
        <v>595</v>
      </c>
      <c r="B345" s="2" t="str">
        <f>[1]Sheet1!M345</f>
        <v>男</v>
      </c>
      <c r="C345" s="3" t="str" cm="1">
        <f t="array" ref="C3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45" s="2" t="str">
        <f>MID([1]Sheet1!F345,FIND("(",[1]Sheet1!F345)+1,FIND("-",[1]Sheet1!F345)-FIND("(",[1]Sheet1!F345)-1)</f>
        <v>天津</v>
      </c>
      <c r="E345" s="2" t="str">
        <f>MID([1]Sheet1!F345,FIND("-",[1]Sheet1!F345)+1,FIND(")",[1]Sheet1!F345)-FIND("-",[1]Sheet1!F345)-1)</f>
        <v>天津</v>
      </c>
      <c r="F345" s="2" t="s">
        <v>31</v>
      </c>
      <c r="G345" s="2" t="s">
        <v>32</v>
      </c>
      <c r="H345" s="2" t="s">
        <v>20</v>
      </c>
      <c r="I345" s="2" t="s">
        <v>43</v>
      </c>
      <c r="J345" s="2" t="s">
        <v>96</v>
      </c>
      <c r="K345" s="2" t="s">
        <v>121</v>
      </c>
      <c r="L345" s="2" t="s">
        <v>24</v>
      </c>
      <c r="M345" s="2" t="s">
        <v>111</v>
      </c>
      <c r="N345" s="2" t="s">
        <v>37</v>
      </c>
      <c r="O345" s="2" t="s">
        <v>89</v>
      </c>
      <c r="P345" s="2" t="s">
        <v>179</v>
      </c>
      <c r="Q345" s="2" t="s">
        <v>195</v>
      </c>
    </row>
    <row r="346" spans="1:17">
      <c r="A346" s="2" t="s">
        <v>587</v>
      </c>
      <c r="B346" s="2" t="str">
        <f>[1]Sheet1!M346</f>
        <v>男</v>
      </c>
      <c r="C346" s="3" t="str" cm="1">
        <f t="array" ref="C3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46" s="2" t="str">
        <f>MID([1]Sheet1!F346,FIND("(",[1]Sheet1!F346)+1,FIND("-",[1]Sheet1!F346)-FIND("(",[1]Sheet1!F346)-1)</f>
        <v>北京</v>
      </c>
      <c r="E346" s="2" t="str">
        <f>MID([1]Sheet1!F346,FIND("-",[1]Sheet1!F346)+1,FIND(")",[1]Sheet1!F346)-FIND("-",[1]Sheet1!F346)-1)</f>
        <v>北京</v>
      </c>
      <c r="F346" s="2" t="s">
        <v>70</v>
      </c>
      <c r="G346" s="2" t="s">
        <v>114</v>
      </c>
      <c r="H346" s="2" t="s">
        <v>33</v>
      </c>
      <c r="I346" s="2" t="s">
        <v>21</v>
      </c>
      <c r="J346" s="2" t="s">
        <v>22</v>
      </c>
      <c r="K346" s="2" t="s">
        <v>121</v>
      </c>
      <c r="L346" s="2" t="s">
        <v>83</v>
      </c>
      <c r="M346" s="2" t="s">
        <v>67</v>
      </c>
      <c r="N346" s="2" t="s">
        <v>37</v>
      </c>
      <c r="O346" s="2" t="s">
        <v>89</v>
      </c>
      <c r="P346" s="2" t="s">
        <v>39</v>
      </c>
      <c r="Q346" s="2" t="s">
        <v>596</v>
      </c>
    </row>
    <row r="347" spans="1:17">
      <c r="A347" s="2" t="s">
        <v>589</v>
      </c>
      <c r="B347" s="2" t="str">
        <f>[1]Sheet1!M347</f>
        <v>男</v>
      </c>
      <c r="C347" s="3" t="str" cm="1">
        <f t="array" ref="C3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47" s="2" t="str">
        <f>MID([1]Sheet1!F347,FIND("(",[1]Sheet1!F347)+1,FIND("-",[1]Sheet1!F347)-FIND("(",[1]Sheet1!F347)-1)</f>
        <v>重庆</v>
      </c>
      <c r="E347" s="2" t="str">
        <f>MID([1]Sheet1!F347,FIND("-",[1]Sheet1!F347)+1,FIND(")",[1]Sheet1!F347)-FIND("-",[1]Sheet1!F347)-1)</f>
        <v>重庆</v>
      </c>
      <c r="F347" s="2" t="s">
        <v>42</v>
      </c>
      <c r="G347" s="2" t="s">
        <v>32</v>
      </c>
      <c r="H347" s="2" t="s">
        <v>66</v>
      </c>
      <c r="I347" s="2" t="s">
        <v>43</v>
      </c>
      <c r="J347" s="2" t="s">
        <v>82</v>
      </c>
      <c r="K347" s="2" t="s">
        <v>121</v>
      </c>
      <c r="L347" s="2" t="s">
        <v>24</v>
      </c>
      <c r="M347" s="2" t="s">
        <v>36</v>
      </c>
      <c r="N347" s="2" t="s">
        <v>105</v>
      </c>
      <c r="O347" s="2" t="s">
        <v>47</v>
      </c>
      <c r="P347" s="2" t="s">
        <v>39</v>
      </c>
      <c r="Q347" s="2" t="s">
        <v>48</v>
      </c>
    </row>
    <row r="348" spans="1:17">
      <c r="A348" s="2" t="s">
        <v>597</v>
      </c>
      <c r="B348" s="2" t="str">
        <f>[1]Sheet1!M348</f>
        <v>男</v>
      </c>
      <c r="C348" s="3" t="str" cm="1">
        <f t="array" ref="C3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48" s="2" t="str">
        <f>MID([1]Sheet1!F348,FIND("(",[1]Sheet1!F348)+1,FIND("-",[1]Sheet1!F348)-FIND("(",[1]Sheet1!F348)-1)</f>
        <v>四川</v>
      </c>
      <c r="E348" s="2" t="str">
        <f>MID([1]Sheet1!F348,FIND("-",[1]Sheet1!F348)+1,FIND(")",[1]Sheet1!F348)-FIND("-",[1]Sheet1!F348)-1)</f>
        <v>成都</v>
      </c>
      <c r="F348" s="2" t="s">
        <v>31</v>
      </c>
      <c r="G348" s="2" t="s">
        <v>19</v>
      </c>
      <c r="H348" s="2" t="s">
        <v>66</v>
      </c>
      <c r="I348" s="2" t="s">
        <v>51</v>
      </c>
      <c r="J348" s="2" t="s">
        <v>56</v>
      </c>
      <c r="K348" s="2" t="s">
        <v>130</v>
      </c>
      <c r="L348" s="2" t="s">
        <v>24</v>
      </c>
      <c r="M348" s="2" t="s">
        <v>36</v>
      </c>
      <c r="N348" s="2" t="s">
        <v>26</v>
      </c>
      <c r="O348" s="2" t="s">
        <v>79</v>
      </c>
      <c r="P348" s="2" t="s">
        <v>39</v>
      </c>
      <c r="Q348" s="2" t="s">
        <v>261</v>
      </c>
    </row>
    <row r="349" spans="1:17">
      <c r="A349" s="2" t="s">
        <v>598</v>
      </c>
      <c r="B349" s="2" t="str">
        <f>[1]Sheet1!M349</f>
        <v>男</v>
      </c>
      <c r="C349" s="3" t="str" cm="1">
        <f t="array" ref="C3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49" s="2" t="str">
        <f>MID([1]Sheet1!F349,FIND("(",[1]Sheet1!F349)+1,FIND("-",[1]Sheet1!F349)-FIND("(",[1]Sheet1!F349)-1)</f>
        <v>浙江</v>
      </c>
      <c r="E349" s="2" t="str">
        <f>MID([1]Sheet1!F349,FIND("-",[1]Sheet1!F349)+1,FIND(")",[1]Sheet1!F349)-FIND("-",[1]Sheet1!F349)-1)</f>
        <v>杭州</v>
      </c>
      <c r="F349" s="2" t="s">
        <v>31</v>
      </c>
      <c r="G349" s="2" t="s">
        <v>32</v>
      </c>
      <c r="H349" s="2" t="s">
        <v>66</v>
      </c>
      <c r="I349" s="2" t="s">
        <v>43</v>
      </c>
      <c r="J349" s="2" t="s">
        <v>35</v>
      </c>
      <c r="K349" s="2" t="s">
        <v>130</v>
      </c>
      <c r="L349" s="2" t="s">
        <v>24</v>
      </c>
      <c r="M349" s="2" t="s">
        <v>67</v>
      </c>
      <c r="N349" s="2" t="s">
        <v>37</v>
      </c>
      <c r="O349" s="2" t="s">
        <v>47</v>
      </c>
      <c r="P349" s="2" t="s">
        <v>28</v>
      </c>
      <c r="Q349" s="2" t="s">
        <v>206</v>
      </c>
    </row>
    <row r="350" spans="1:17">
      <c r="A350" s="2" t="s">
        <v>599</v>
      </c>
      <c r="B350" s="2" t="str">
        <f>[1]Sheet1!M350</f>
        <v>男</v>
      </c>
      <c r="C350" s="3" t="str" cm="1">
        <f t="array" ref="C3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50" s="2" t="str">
        <f>MID([1]Sheet1!F350,FIND("(",[1]Sheet1!F350)+1,FIND("-",[1]Sheet1!F350)-FIND("(",[1]Sheet1!F350)-1)</f>
        <v>四川</v>
      </c>
      <c r="E350" s="2" t="str">
        <f>MID([1]Sheet1!F350,FIND("-",[1]Sheet1!F350)+1,FIND(")",[1]Sheet1!F350)-FIND("-",[1]Sheet1!F350)-1)</f>
        <v>成都</v>
      </c>
      <c r="F350" s="2" t="s">
        <v>42</v>
      </c>
      <c r="G350" s="2" t="s">
        <v>32</v>
      </c>
      <c r="H350" s="2" t="s">
        <v>66</v>
      </c>
      <c r="I350" s="2" t="s">
        <v>120</v>
      </c>
      <c r="J350" s="2" t="s">
        <v>82</v>
      </c>
      <c r="K350" s="2" t="s">
        <v>117</v>
      </c>
      <c r="L350" s="2" t="s">
        <v>24</v>
      </c>
      <c r="M350" s="2" t="s">
        <v>78</v>
      </c>
      <c r="N350" s="2" t="s">
        <v>37</v>
      </c>
      <c r="O350" s="2" t="s">
        <v>47</v>
      </c>
      <c r="P350" s="2" t="s">
        <v>28</v>
      </c>
      <c r="Q350" s="2" t="s">
        <v>600</v>
      </c>
    </row>
    <row r="351" spans="1:17">
      <c r="A351" s="2" t="s">
        <v>601</v>
      </c>
      <c r="B351" s="2" t="str">
        <f>[1]Sheet1!M351</f>
        <v>男</v>
      </c>
      <c r="C351" s="3" t="str" cm="1">
        <f t="array" ref="C3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51" s="2" t="str">
        <f>MID([1]Sheet1!F351,FIND("(",[1]Sheet1!F351)+1,FIND("-",[1]Sheet1!F351)-FIND("(",[1]Sheet1!F351)-1)</f>
        <v>江苏</v>
      </c>
      <c r="E351" s="2" t="str">
        <f>MID([1]Sheet1!F351,FIND("-",[1]Sheet1!F351)+1,FIND(")",[1]Sheet1!F351)-FIND("-",[1]Sheet1!F351)-1)</f>
        <v>苏州</v>
      </c>
      <c r="F351" s="2" t="s">
        <v>31</v>
      </c>
      <c r="G351" s="2" t="s">
        <v>19</v>
      </c>
      <c r="H351" s="2" t="s">
        <v>55</v>
      </c>
      <c r="I351" s="2" t="s">
        <v>73</v>
      </c>
      <c r="J351" s="2" t="s">
        <v>35</v>
      </c>
      <c r="K351" s="2" t="s">
        <v>121</v>
      </c>
      <c r="L351" s="2" t="s">
        <v>24</v>
      </c>
      <c r="M351" s="2" t="s">
        <v>71</v>
      </c>
      <c r="N351" s="2" t="s">
        <v>37</v>
      </c>
      <c r="O351" s="2" t="s">
        <v>106</v>
      </c>
      <c r="P351" s="2" t="s">
        <v>59</v>
      </c>
      <c r="Q351" s="2" t="s">
        <v>370</v>
      </c>
    </row>
    <row r="352" spans="1:17">
      <c r="A352" s="2" t="s">
        <v>602</v>
      </c>
      <c r="B352" s="2" t="str">
        <f>[1]Sheet1!M352</f>
        <v>男</v>
      </c>
      <c r="C352" s="3" t="str" cm="1">
        <f t="array" ref="C3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52" s="2" t="str">
        <f>MID([1]Sheet1!F352,FIND("(",[1]Sheet1!F352)+1,FIND("-",[1]Sheet1!F352)-FIND("(",[1]Sheet1!F352)-1)</f>
        <v>贵州</v>
      </c>
      <c r="E352" s="2" t="str">
        <f>MID([1]Sheet1!F352,FIND("-",[1]Sheet1!F352)+1,FIND(")",[1]Sheet1!F352)-FIND("-",[1]Sheet1!F352)-1)</f>
        <v>黔南</v>
      </c>
      <c r="F352" s="2" t="s">
        <v>31</v>
      </c>
      <c r="G352" s="2" t="s">
        <v>19</v>
      </c>
      <c r="H352" s="2" t="s">
        <v>33</v>
      </c>
      <c r="I352" s="2" t="s">
        <v>73</v>
      </c>
      <c r="J352" s="2" t="s">
        <v>44</v>
      </c>
      <c r="K352" s="2" t="s">
        <v>304</v>
      </c>
      <c r="L352" s="2" t="s">
        <v>24</v>
      </c>
      <c r="M352" s="2" t="s">
        <v>36</v>
      </c>
      <c r="N352" s="2" t="s">
        <v>37</v>
      </c>
      <c r="O352" s="2" t="s">
        <v>27</v>
      </c>
      <c r="P352" s="2" t="s">
        <v>86</v>
      </c>
      <c r="Q352" s="2" t="s">
        <v>107</v>
      </c>
    </row>
    <row r="353" spans="1:17">
      <c r="A353" s="2" t="s">
        <v>191</v>
      </c>
      <c r="B353" s="2" t="str">
        <f>[1]Sheet1!M353</f>
        <v>男</v>
      </c>
      <c r="C353" s="3" t="str" cm="1">
        <f t="array" ref="C3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53" s="2" t="str">
        <f>MID([1]Sheet1!F353,FIND("(",[1]Sheet1!F353)+1,FIND("-",[1]Sheet1!F353)-FIND("(",[1]Sheet1!F353)-1)</f>
        <v>山东</v>
      </c>
      <c r="E353" s="2" t="str">
        <f>MID([1]Sheet1!F353,FIND("-",[1]Sheet1!F353)+1,FIND(")",[1]Sheet1!F353)-FIND("-",[1]Sheet1!F353)-1)</f>
        <v>济南</v>
      </c>
      <c r="F353" s="2" t="s">
        <v>18</v>
      </c>
      <c r="G353" s="2" t="s">
        <v>50</v>
      </c>
      <c r="H353" s="2" t="s">
        <v>20</v>
      </c>
      <c r="I353" s="2" t="s">
        <v>21</v>
      </c>
      <c r="J353" s="2" t="s">
        <v>22</v>
      </c>
      <c r="K353" s="2" t="s">
        <v>130</v>
      </c>
      <c r="L353" s="2" t="s">
        <v>24</v>
      </c>
      <c r="M353" s="2" t="s">
        <v>36</v>
      </c>
      <c r="N353" s="2" t="s">
        <v>37</v>
      </c>
      <c r="O353" s="2" t="s">
        <v>47</v>
      </c>
      <c r="P353" s="2" t="s">
        <v>289</v>
      </c>
      <c r="Q353" s="2" t="s">
        <v>603</v>
      </c>
    </row>
    <row r="354" spans="1:17">
      <c r="A354" s="2" t="s">
        <v>604</v>
      </c>
      <c r="B354" s="2" t="str">
        <f>[1]Sheet1!M354</f>
        <v>男</v>
      </c>
      <c r="C354" s="3" t="str" cm="1">
        <f t="array" ref="C3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54" s="2" t="str">
        <f>MID([1]Sheet1!F354,FIND("(",[1]Sheet1!F354)+1,FIND("-",[1]Sheet1!F354)-FIND("(",[1]Sheet1!F354)-1)</f>
        <v>江苏</v>
      </c>
      <c r="E354" s="2" t="str">
        <f>MID([1]Sheet1!F354,FIND("-",[1]Sheet1!F354)+1,FIND(")",[1]Sheet1!F354)-FIND("-",[1]Sheet1!F354)-1)</f>
        <v>镇江</v>
      </c>
      <c r="F354" s="2" t="s">
        <v>18</v>
      </c>
      <c r="G354" s="2" t="s">
        <v>114</v>
      </c>
      <c r="H354" s="2" t="s">
        <v>66</v>
      </c>
      <c r="I354" s="2" t="s">
        <v>21</v>
      </c>
      <c r="J354" s="2" t="s">
        <v>82</v>
      </c>
      <c r="K354" s="2" t="s">
        <v>223</v>
      </c>
      <c r="L354" s="2" t="s">
        <v>24</v>
      </c>
      <c r="M354" s="2" t="s">
        <v>36</v>
      </c>
      <c r="N354" s="2" t="s">
        <v>85</v>
      </c>
      <c r="O354" s="2" t="s">
        <v>202</v>
      </c>
      <c r="P354" s="2" t="s">
        <v>39</v>
      </c>
      <c r="Q354" s="2" t="s">
        <v>131</v>
      </c>
    </row>
    <row r="355" spans="1:17">
      <c r="A355" s="2" t="s">
        <v>605</v>
      </c>
      <c r="B355" s="2" t="str">
        <f>[1]Sheet1!M355</f>
        <v>男</v>
      </c>
      <c r="C355" s="3" t="str" cm="1">
        <f t="array" ref="C3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55" s="2" t="str">
        <f>MID([1]Sheet1!F355,FIND("(",[1]Sheet1!F355)+1,FIND("-",[1]Sheet1!F355)-FIND("(",[1]Sheet1!F355)-1)</f>
        <v>山东</v>
      </c>
      <c r="E355" s="2" t="str">
        <f>MID([1]Sheet1!F355,FIND("-",[1]Sheet1!F355)+1,FIND(")",[1]Sheet1!F355)-FIND("-",[1]Sheet1!F355)-1)</f>
        <v>临沂</v>
      </c>
      <c r="F355" s="2" t="s">
        <v>42</v>
      </c>
      <c r="G355" s="2" t="s">
        <v>19</v>
      </c>
      <c r="H355" s="2" t="s">
        <v>20</v>
      </c>
      <c r="I355" s="2" t="s">
        <v>43</v>
      </c>
      <c r="J355" s="2" t="s">
        <v>77</v>
      </c>
      <c r="K355" s="2" t="s">
        <v>385</v>
      </c>
      <c r="L355" s="2" t="s">
        <v>24</v>
      </c>
      <c r="M355" s="2" t="s">
        <v>25</v>
      </c>
      <c r="N355" s="2" t="s">
        <v>26</v>
      </c>
      <c r="O355" s="2" t="s">
        <v>47</v>
      </c>
      <c r="P355" s="2" t="s">
        <v>63</v>
      </c>
      <c r="Q355" s="2" t="s">
        <v>606</v>
      </c>
    </row>
    <row r="356" spans="1:17">
      <c r="A356" s="2" t="s">
        <v>607</v>
      </c>
      <c r="B356" s="2" t="str">
        <f>[1]Sheet1!M356</f>
        <v>男</v>
      </c>
      <c r="C356" s="3" t="str" cm="1">
        <f t="array" ref="C3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56" s="2" t="str">
        <f>MID([1]Sheet1!F356,FIND("(",[1]Sheet1!F356)+1,FIND("-",[1]Sheet1!F356)-FIND("(",[1]Sheet1!F356)-1)</f>
        <v>山东</v>
      </c>
      <c r="E356" s="2" t="str">
        <f>MID([1]Sheet1!F356,FIND("-",[1]Sheet1!F356)+1,FIND(")",[1]Sheet1!F356)-FIND("-",[1]Sheet1!F356)-1)</f>
        <v>德州</v>
      </c>
      <c r="F356" s="2" t="s">
        <v>42</v>
      </c>
      <c r="G356" s="2" t="s">
        <v>50</v>
      </c>
      <c r="H356" s="2" t="s">
        <v>20</v>
      </c>
      <c r="I356" s="2" t="s">
        <v>21</v>
      </c>
      <c r="J356" s="2" t="s">
        <v>82</v>
      </c>
      <c r="K356" s="2" t="s">
        <v>304</v>
      </c>
      <c r="L356" s="2" t="s">
        <v>24</v>
      </c>
      <c r="M356" s="2" t="s">
        <v>36</v>
      </c>
      <c r="N356" s="2" t="s">
        <v>37</v>
      </c>
      <c r="O356" s="2" t="s">
        <v>366</v>
      </c>
      <c r="P356" s="2" t="s">
        <v>28</v>
      </c>
      <c r="Q356" s="2" t="s">
        <v>195</v>
      </c>
    </row>
    <row r="357" spans="1:17">
      <c r="A357" s="2" t="s">
        <v>608</v>
      </c>
      <c r="B357" s="2" t="str">
        <f>[1]Sheet1!M357</f>
        <v>男</v>
      </c>
      <c r="C357" s="3" t="str" cm="1">
        <f t="array" ref="C3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57" s="2" t="str">
        <f>MID([1]Sheet1!F357,FIND("(",[1]Sheet1!F357)+1,FIND("-",[1]Sheet1!F357)-FIND("(",[1]Sheet1!F357)-1)</f>
        <v>浙江</v>
      </c>
      <c r="E357" s="2" t="str">
        <f>MID([1]Sheet1!F357,FIND("-",[1]Sheet1!F357)+1,FIND(")",[1]Sheet1!F357)-FIND("-",[1]Sheet1!F357)-1)</f>
        <v>台州</v>
      </c>
      <c r="F357" s="2" t="s">
        <v>42</v>
      </c>
      <c r="G357" s="2" t="s">
        <v>19</v>
      </c>
      <c r="H357" s="2" t="s">
        <v>66</v>
      </c>
      <c r="I357" s="2" t="s">
        <v>211</v>
      </c>
      <c r="J357" s="2" t="s">
        <v>82</v>
      </c>
      <c r="K357" s="2" t="s">
        <v>117</v>
      </c>
      <c r="L357" s="2" t="s">
        <v>24</v>
      </c>
      <c r="M357" s="2" t="s">
        <v>126</v>
      </c>
      <c r="N357" s="2" t="s">
        <v>37</v>
      </c>
      <c r="O357" s="2" t="s">
        <v>62</v>
      </c>
      <c r="P357" s="2" t="s">
        <v>86</v>
      </c>
      <c r="Q357" s="2" t="s">
        <v>150</v>
      </c>
    </row>
    <row r="358" spans="1:17">
      <c r="A358" s="2" t="s">
        <v>609</v>
      </c>
      <c r="B358" s="2" t="str">
        <f>[1]Sheet1!M358</f>
        <v>男</v>
      </c>
      <c r="C358" s="3" t="str" cm="1">
        <f t="array" ref="C3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58" s="2" t="str">
        <f>MID([1]Sheet1!F358,FIND("(",[1]Sheet1!F358)+1,FIND("-",[1]Sheet1!F358)-FIND("(",[1]Sheet1!F358)-1)</f>
        <v>四川</v>
      </c>
      <c r="E358" s="2" t="str">
        <f>MID([1]Sheet1!F358,FIND("-",[1]Sheet1!F358)+1,FIND(")",[1]Sheet1!F358)-FIND("-",[1]Sheet1!F358)-1)</f>
        <v>德阳</v>
      </c>
      <c r="F358" s="2" t="s">
        <v>18</v>
      </c>
      <c r="G358" s="2" t="s">
        <v>50</v>
      </c>
      <c r="H358" s="2" t="s">
        <v>20</v>
      </c>
      <c r="I358" s="2" t="s">
        <v>21</v>
      </c>
      <c r="J358" s="2" t="s">
        <v>96</v>
      </c>
      <c r="K358" s="2" t="s">
        <v>121</v>
      </c>
      <c r="L358" s="2" t="s">
        <v>24</v>
      </c>
      <c r="M358" s="2" t="s">
        <v>111</v>
      </c>
      <c r="N358" s="2" t="s">
        <v>26</v>
      </c>
      <c r="O358" s="2" t="s">
        <v>47</v>
      </c>
      <c r="P358" s="2" t="s">
        <v>39</v>
      </c>
      <c r="Q358" s="2" t="s">
        <v>172</v>
      </c>
    </row>
    <row r="359" spans="1:17">
      <c r="A359" s="2" t="s">
        <v>610</v>
      </c>
      <c r="B359" s="2" t="str">
        <f>[1]Sheet1!M359</f>
        <v>男</v>
      </c>
      <c r="C359" s="3" t="str" cm="1">
        <f t="array" ref="C3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59" s="2" t="str">
        <f>MID([1]Sheet1!F359,FIND("(",[1]Sheet1!F359)+1,FIND("-",[1]Sheet1!F359)-FIND("(",[1]Sheet1!F359)-1)</f>
        <v>吉林</v>
      </c>
      <c r="E359" s="2" t="str">
        <f>MID([1]Sheet1!F359,FIND("-",[1]Sheet1!F359)+1,FIND(")",[1]Sheet1!F359)-FIND("-",[1]Sheet1!F359)-1)</f>
        <v>延边</v>
      </c>
      <c r="F359" s="2" t="s">
        <v>31</v>
      </c>
      <c r="G359" s="2" t="s">
        <v>81</v>
      </c>
      <c r="H359" s="2" t="s">
        <v>66</v>
      </c>
      <c r="I359" s="2" t="s">
        <v>51</v>
      </c>
      <c r="J359" s="2" t="s">
        <v>82</v>
      </c>
      <c r="K359" s="2" t="s">
        <v>115</v>
      </c>
      <c r="L359" s="2" t="s">
        <v>24</v>
      </c>
      <c r="M359" s="2" t="s">
        <v>143</v>
      </c>
      <c r="N359" s="2" t="s">
        <v>37</v>
      </c>
      <c r="O359" s="2" t="s">
        <v>422</v>
      </c>
      <c r="P359" s="2" t="s">
        <v>59</v>
      </c>
      <c r="Q359" s="2" t="s">
        <v>133</v>
      </c>
    </row>
    <row r="360" spans="1:17">
      <c r="A360" s="2" t="s">
        <v>611</v>
      </c>
      <c r="B360" s="2" t="str">
        <f>[1]Sheet1!M360</f>
        <v>女</v>
      </c>
      <c r="C360" s="3" t="str" cm="1">
        <f t="array" ref="C3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60" s="2" t="str">
        <f>MID([1]Sheet1!F360,FIND("(",[1]Sheet1!F360)+1,FIND("-",[1]Sheet1!F360)-FIND("(",[1]Sheet1!F360)-1)</f>
        <v>青海</v>
      </c>
      <c r="E360" s="2" t="str">
        <f>MID([1]Sheet1!F360,FIND("-",[1]Sheet1!F360)+1,FIND(")",[1]Sheet1!F360)-FIND("-",[1]Sheet1!F360)-1)</f>
        <v>海东</v>
      </c>
      <c r="F360" s="2" t="s">
        <v>31</v>
      </c>
      <c r="G360" s="2" t="s">
        <v>50</v>
      </c>
      <c r="H360" s="2" t="s">
        <v>66</v>
      </c>
      <c r="I360" s="2" t="s">
        <v>34</v>
      </c>
      <c r="J360" s="2" t="s">
        <v>82</v>
      </c>
      <c r="K360" s="2" t="s">
        <v>117</v>
      </c>
      <c r="L360" s="2" t="s">
        <v>83</v>
      </c>
      <c r="M360" s="2" t="s">
        <v>57</v>
      </c>
      <c r="N360" s="2" t="s">
        <v>46</v>
      </c>
      <c r="O360" s="2" t="s">
        <v>545</v>
      </c>
      <c r="P360" s="2" t="s">
        <v>39</v>
      </c>
      <c r="Q360" s="2" t="s">
        <v>160</v>
      </c>
    </row>
    <row r="361" spans="1:17">
      <c r="A361" s="2" t="s">
        <v>612</v>
      </c>
      <c r="B361" s="2" t="str">
        <f>[1]Sheet1!M361</f>
        <v>男</v>
      </c>
      <c r="C361" s="3" t="str" cm="1">
        <f t="array" ref="C3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61" s="2" t="str">
        <f>MID([1]Sheet1!F361,FIND("(",[1]Sheet1!F361)+1,FIND("-",[1]Sheet1!F361)-FIND("(",[1]Sheet1!F361)-1)</f>
        <v>吉林</v>
      </c>
      <c r="E361" s="2" t="str">
        <f>MID([1]Sheet1!F361,FIND("-",[1]Sheet1!F361)+1,FIND(")",[1]Sheet1!F361)-FIND("-",[1]Sheet1!F361)-1)</f>
        <v>长春</v>
      </c>
      <c r="F361" s="2" t="s">
        <v>18</v>
      </c>
      <c r="G361" s="2" t="s">
        <v>32</v>
      </c>
      <c r="H361" s="2" t="s">
        <v>66</v>
      </c>
      <c r="I361" s="2" t="s">
        <v>34</v>
      </c>
      <c r="J361" s="2" t="s">
        <v>96</v>
      </c>
      <c r="K361" s="2" t="s">
        <v>372</v>
      </c>
      <c r="L361" s="2" t="s">
        <v>24</v>
      </c>
      <c r="M361" s="2" t="s">
        <v>57</v>
      </c>
      <c r="N361" s="2" t="s">
        <v>37</v>
      </c>
      <c r="O361" s="2" t="s">
        <v>545</v>
      </c>
      <c r="P361" s="2" t="s">
        <v>63</v>
      </c>
      <c r="Q361" s="2" t="s">
        <v>339</v>
      </c>
    </row>
    <row r="362" spans="1:17">
      <c r="A362" s="2" t="s">
        <v>613</v>
      </c>
      <c r="B362" s="2" t="str">
        <f>[1]Sheet1!M362</f>
        <v>男</v>
      </c>
      <c r="C362" s="3" t="str" cm="1">
        <f t="array" ref="C3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62" s="2" t="str">
        <f>MID([1]Sheet1!F362,FIND("(",[1]Sheet1!F362)+1,FIND("-",[1]Sheet1!F362)-FIND("(",[1]Sheet1!F362)-1)</f>
        <v>重庆</v>
      </c>
      <c r="E362" s="2" t="str">
        <f>MID([1]Sheet1!F362,FIND("-",[1]Sheet1!F362)+1,FIND(")",[1]Sheet1!F362)-FIND("-",[1]Sheet1!F362)-1)</f>
        <v>重庆</v>
      </c>
      <c r="F362" s="2" t="s">
        <v>42</v>
      </c>
      <c r="G362" s="2" t="s">
        <v>32</v>
      </c>
      <c r="H362" s="2" t="s">
        <v>20</v>
      </c>
      <c r="I362" s="2" t="s">
        <v>51</v>
      </c>
      <c r="J362" s="2" t="s">
        <v>82</v>
      </c>
      <c r="K362" s="2" t="s">
        <v>115</v>
      </c>
      <c r="L362" s="2" t="s">
        <v>24</v>
      </c>
      <c r="M362" s="2" t="s">
        <v>78</v>
      </c>
      <c r="N362" s="2" t="s">
        <v>37</v>
      </c>
      <c r="O362" s="2" t="s">
        <v>27</v>
      </c>
      <c r="P362" s="2" t="s">
        <v>86</v>
      </c>
      <c r="Q362" s="2" t="s">
        <v>144</v>
      </c>
    </row>
    <row r="363" spans="1:17">
      <c r="A363" s="2" t="s">
        <v>614</v>
      </c>
      <c r="B363" s="2" t="str">
        <f>[1]Sheet1!M363</f>
        <v>男</v>
      </c>
      <c r="C363" s="3" t="str" cm="1">
        <f t="array" ref="C3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63" s="2" t="str">
        <f>MID([1]Sheet1!F363,FIND("(",[1]Sheet1!F363)+1,FIND("-",[1]Sheet1!F363)-FIND("(",[1]Sheet1!F363)-1)</f>
        <v>河北</v>
      </c>
      <c r="E363" s="2" t="str">
        <f>MID([1]Sheet1!F363,FIND("-",[1]Sheet1!F363)+1,FIND(")",[1]Sheet1!F363)-FIND("-",[1]Sheet1!F363)-1)</f>
        <v>唐山</v>
      </c>
      <c r="F363" s="2" t="s">
        <v>159</v>
      </c>
      <c r="G363" s="2" t="s">
        <v>81</v>
      </c>
      <c r="H363" s="2" t="s">
        <v>20</v>
      </c>
      <c r="I363" s="2" t="s">
        <v>51</v>
      </c>
      <c r="J363" s="2" t="s">
        <v>96</v>
      </c>
      <c r="K363" s="2" t="s">
        <v>115</v>
      </c>
      <c r="L363" s="2" t="s">
        <v>24</v>
      </c>
      <c r="M363" s="2" t="s">
        <v>111</v>
      </c>
      <c r="N363" s="2" t="s">
        <v>37</v>
      </c>
      <c r="O363" s="2" t="s">
        <v>97</v>
      </c>
      <c r="P363" s="2" t="s">
        <v>179</v>
      </c>
      <c r="Q363" s="2" t="s">
        <v>259</v>
      </c>
    </row>
    <row r="364" spans="1:17">
      <c r="A364" s="2" t="s">
        <v>615</v>
      </c>
      <c r="B364" s="2" t="str">
        <f>[1]Sheet1!M364</f>
        <v>男</v>
      </c>
      <c r="C364" s="3" t="str" cm="1">
        <f t="array" ref="C3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64" s="2" t="str">
        <f>MID([1]Sheet1!F364,FIND("(",[1]Sheet1!F364)+1,FIND("-",[1]Sheet1!F364)-FIND("(",[1]Sheet1!F364)-1)</f>
        <v>山东</v>
      </c>
      <c r="E364" s="2" t="str">
        <f>MID([1]Sheet1!F364,FIND("-",[1]Sheet1!F364)+1,FIND(")",[1]Sheet1!F364)-FIND("-",[1]Sheet1!F364)-1)</f>
        <v>泰安</v>
      </c>
      <c r="F364" s="2" t="s">
        <v>42</v>
      </c>
      <c r="G364" s="2" t="s">
        <v>50</v>
      </c>
      <c r="H364" s="2" t="s">
        <v>20</v>
      </c>
      <c r="I364" s="2" t="s">
        <v>120</v>
      </c>
      <c r="J364" s="2" t="s">
        <v>82</v>
      </c>
      <c r="K364" s="2" t="s">
        <v>121</v>
      </c>
      <c r="L364" s="2" t="s">
        <v>24</v>
      </c>
      <c r="M364" s="2" t="s">
        <v>111</v>
      </c>
      <c r="N364" s="2" t="s">
        <v>46</v>
      </c>
      <c r="O364" s="2" t="s">
        <v>202</v>
      </c>
      <c r="P364" s="2" t="s">
        <v>218</v>
      </c>
      <c r="Q364" s="2" t="s">
        <v>348</v>
      </c>
    </row>
    <row r="365" spans="1:17">
      <c r="A365" s="2" t="s">
        <v>616</v>
      </c>
      <c r="B365" s="2" t="str">
        <f>[1]Sheet1!M365</f>
        <v>男</v>
      </c>
      <c r="C365" s="3" t="str" cm="1">
        <f t="array" ref="C3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65" s="2" t="str">
        <f>MID([1]Sheet1!F365,FIND("(",[1]Sheet1!F365)+1,FIND("-",[1]Sheet1!F365)-FIND("(",[1]Sheet1!F365)-1)</f>
        <v>河南</v>
      </c>
      <c r="E365" s="2" t="str">
        <f>MID([1]Sheet1!F365,FIND("-",[1]Sheet1!F365)+1,FIND(")",[1]Sheet1!F365)-FIND("-",[1]Sheet1!F365)-1)</f>
        <v>郑州</v>
      </c>
      <c r="F365" s="2" t="s">
        <v>70</v>
      </c>
      <c r="G365" s="2" t="s">
        <v>19</v>
      </c>
      <c r="H365" s="2" t="s">
        <v>20</v>
      </c>
      <c r="I365" s="2" t="s">
        <v>21</v>
      </c>
      <c r="J365" s="2" t="s">
        <v>22</v>
      </c>
      <c r="K365" s="2" t="s">
        <v>240</v>
      </c>
      <c r="L365" s="2" t="s">
        <v>83</v>
      </c>
      <c r="M365" s="2" t="s">
        <v>36</v>
      </c>
      <c r="N365" s="2" t="s">
        <v>37</v>
      </c>
      <c r="O365" s="2" t="s">
        <v>89</v>
      </c>
      <c r="P365" s="2" t="s">
        <v>28</v>
      </c>
      <c r="Q365" s="2" t="s">
        <v>75</v>
      </c>
    </row>
    <row r="366" spans="1:17">
      <c r="A366" s="2" t="s">
        <v>617</v>
      </c>
      <c r="B366" s="2" t="str">
        <f>[1]Sheet1!M366</f>
        <v>男</v>
      </c>
      <c r="C366" s="3" t="str" cm="1">
        <f t="array" ref="C3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66" s="2" t="str">
        <f>MID([1]Sheet1!F366,FIND("(",[1]Sheet1!F366)+1,FIND("-",[1]Sheet1!F366)-FIND("(",[1]Sheet1!F366)-1)</f>
        <v>宁夏</v>
      </c>
      <c r="E366" s="2" t="str">
        <f>MID([1]Sheet1!F366,FIND("-",[1]Sheet1!F366)+1,FIND(")",[1]Sheet1!F366)-FIND("-",[1]Sheet1!F366)-1)</f>
        <v>银川</v>
      </c>
      <c r="F366" s="2" t="s">
        <v>18</v>
      </c>
      <c r="G366" s="2" t="s">
        <v>32</v>
      </c>
      <c r="H366" s="2" t="s">
        <v>66</v>
      </c>
      <c r="I366" s="2" t="s">
        <v>21</v>
      </c>
      <c r="J366" s="2" t="s">
        <v>96</v>
      </c>
      <c r="K366" s="2" t="s">
        <v>117</v>
      </c>
      <c r="L366" s="2" t="s">
        <v>83</v>
      </c>
      <c r="M366" s="2" t="s">
        <v>36</v>
      </c>
      <c r="N366" s="2" t="s">
        <v>37</v>
      </c>
      <c r="O366" s="2" t="s">
        <v>192</v>
      </c>
      <c r="P366" s="2" t="s">
        <v>86</v>
      </c>
      <c r="Q366" s="2" t="s">
        <v>68</v>
      </c>
    </row>
    <row r="367" spans="1:17">
      <c r="A367" s="2" t="s">
        <v>618</v>
      </c>
      <c r="B367" s="2" t="str">
        <f>[1]Sheet1!M367</f>
        <v>男</v>
      </c>
      <c r="C367" s="3" t="str" cm="1">
        <f t="array" ref="C3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67" s="2" t="str">
        <f>MID([1]Sheet1!F367,FIND("(",[1]Sheet1!F367)+1,FIND("-",[1]Sheet1!F367)-FIND("(",[1]Sheet1!F367)-1)</f>
        <v>天津</v>
      </c>
      <c r="E367" s="2" t="str">
        <f>MID([1]Sheet1!F367,FIND("-",[1]Sheet1!F367)+1,FIND(")",[1]Sheet1!F367)-FIND("-",[1]Sheet1!F367)-1)</f>
        <v>天津</v>
      </c>
      <c r="F367" s="2" t="s">
        <v>159</v>
      </c>
      <c r="G367" s="2" t="s">
        <v>81</v>
      </c>
      <c r="H367" s="2" t="s">
        <v>20</v>
      </c>
      <c r="I367" s="2" t="s">
        <v>120</v>
      </c>
      <c r="J367" s="2" t="s">
        <v>82</v>
      </c>
      <c r="K367" s="2" t="s">
        <v>117</v>
      </c>
      <c r="L367" s="2" t="s">
        <v>24</v>
      </c>
      <c r="M367" s="2" t="s">
        <v>25</v>
      </c>
      <c r="N367" s="2" t="s">
        <v>26</v>
      </c>
      <c r="O367" s="2" t="s">
        <v>47</v>
      </c>
      <c r="P367" s="2" t="s">
        <v>86</v>
      </c>
      <c r="Q367" s="2" t="s">
        <v>261</v>
      </c>
    </row>
    <row r="368" spans="1:17">
      <c r="A368" s="2" t="s">
        <v>619</v>
      </c>
      <c r="B368" s="2" t="str">
        <f>[1]Sheet1!M368</f>
        <v>男</v>
      </c>
      <c r="C368" s="3" t="str" cm="1">
        <f t="array" ref="C3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68" s="2" t="str">
        <f>MID([1]Sheet1!F368,FIND("(",[1]Sheet1!F368)+1,FIND("-",[1]Sheet1!F368)-FIND("(",[1]Sheet1!F368)-1)</f>
        <v>河南</v>
      </c>
      <c r="E368" s="2" t="str">
        <f>MID([1]Sheet1!F368,FIND("-",[1]Sheet1!F368)+1,FIND(")",[1]Sheet1!F368)-FIND("-",[1]Sheet1!F368)-1)</f>
        <v>洛阳</v>
      </c>
      <c r="F368" s="2" t="s">
        <v>70</v>
      </c>
      <c r="G368" s="2" t="s">
        <v>162</v>
      </c>
      <c r="H368" s="2" t="s">
        <v>33</v>
      </c>
      <c r="I368" s="2" t="s">
        <v>120</v>
      </c>
      <c r="J368" s="2" t="s">
        <v>82</v>
      </c>
      <c r="K368" s="2" t="s">
        <v>115</v>
      </c>
      <c r="L368" s="2" t="s">
        <v>24</v>
      </c>
      <c r="M368" s="2" t="s">
        <v>36</v>
      </c>
      <c r="N368" s="2" t="s">
        <v>37</v>
      </c>
      <c r="O368" s="2" t="s">
        <v>450</v>
      </c>
      <c r="P368" s="2" t="s">
        <v>86</v>
      </c>
      <c r="Q368" s="2" t="s">
        <v>620</v>
      </c>
    </row>
    <row r="369" spans="1:17">
      <c r="A369" s="2" t="s">
        <v>621</v>
      </c>
      <c r="B369" s="2" t="str">
        <f>[1]Sheet1!M369</f>
        <v>男</v>
      </c>
      <c r="C369" s="3" t="str" cm="1">
        <f t="array" ref="C3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69" s="2" t="str">
        <f>MID([1]Sheet1!F369,FIND("(",[1]Sheet1!F369)+1,FIND("-",[1]Sheet1!F369)-FIND("(",[1]Sheet1!F369)-1)</f>
        <v>河南</v>
      </c>
      <c r="E369" s="2" t="str">
        <f>MID([1]Sheet1!F369,FIND("-",[1]Sheet1!F369)+1,FIND(")",[1]Sheet1!F369)-FIND("-",[1]Sheet1!F369)-1)</f>
        <v>开封</v>
      </c>
      <c r="F369" s="2" t="s">
        <v>31</v>
      </c>
      <c r="G369" s="2" t="s">
        <v>19</v>
      </c>
      <c r="H369" s="2" t="s">
        <v>33</v>
      </c>
      <c r="I369" s="2" t="s">
        <v>43</v>
      </c>
      <c r="J369" s="2" t="s">
        <v>82</v>
      </c>
      <c r="K369" s="2" t="s">
        <v>130</v>
      </c>
      <c r="L369" s="2" t="s">
        <v>24</v>
      </c>
      <c r="M369" s="2" t="s">
        <v>36</v>
      </c>
      <c r="N369" s="2" t="s">
        <v>37</v>
      </c>
      <c r="O369" s="2" t="s">
        <v>47</v>
      </c>
      <c r="P369" s="2" t="s">
        <v>39</v>
      </c>
      <c r="Q369" s="2" t="s">
        <v>160</v>
      </c>
    </row>
    <row r="370" spans="1:17">
      <c r="A370" s="2" t="s">
        <v>622</v>
      </c>
      <c r="B370" s="2" t="str">
        <f>[1]Sheet1!M370</f>
        <v>男</v>
      </c>
      <c r="C370" s="3" t="str" cm="1">
        <f t="array" ref="C3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370" s="2" t="str">
        <f>MID([1]Sheet1!F370,FIND("(",[1]Sheet1!F370)+1,FIND("-",[1]Sheet1!F370)-FIND("(",[1]Sheet1!F370)-1)</f>
        <v>国外</v>
      </c>
      <c r="E370" s="2" t="str">
        <f>MID([1]Sheet1!F370,FIND("-",[1]Sheet1!F370)+1,FIND(")",[1]Sheet1!F370)-FIND("-",[1]Sheet1!F370)-1)</f>
        <v>乌克兰</v>
      </c>
      <c r="F370" s="2" t="s">
        <v>42</v>
      </c>
      <c r="G370" s="2" t="s">
        <v>19</v>
      </c>
      <c r="H370" s="2" t="s">
        <v>20</v>
      </c>
      <c r="I370" s="2" t="s">
        <v>120</v>
      </c>
      <c r="J370" s="2" t="s">
        <v>22</v>
      </c>
      <c r="K370" s="2" t="s">
        <v>117</v>
      </c>
      <c r="L370" s="2" t="s">
        <v>24</v>
      </c>
      <c r="M370" s="2" t="s">
        <v>126</v>
      </c>
      <c r="N370" s="2" t="s">
        <v>37</v>
      </c>
      <c r="O370" s="2" t="s">
        <v>89</v>
      </c>
      <c r="P370" s="2" t="s">
        <v>59</v>
      </c>
      <c r="Q370" s="2" t="s">
        <v>623</v>
      </c>
    </row>
    <row r="371" spans="1:17">
      <c r="A371" s="2" t="s">
        <v>624</v>
      </c>
      <c r="B371" s="2" t="str">
        <f>[1]Sheet1!M371</f>
        <v>男</v>
      </c>
      <c r="C371" s="3" t="str" cm="1">
        <f t="array" ref="C3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371" s="2" t="str">
        <f>MID([1]Sheet1!F371,FIND("(",[1]Sheet1!F371)+1,FIND("-",[1]Sheet1!F371)-FIND("(",[1]Sheet1!F371)-1)</f>
        <v>吉林</v>
      </c>
      <c r="E371" s="2" t="str">
        <f>MID([1]Sheet1!F371,FIND("-",[1]Sheet1!F371)+1,FIND(")",[1]Sheet1!F371)-FIND("-",[1]Sheet1!F371)-1)</f>
        <v>长春</v>
      </c>
      <c r="F371" s="2" t="s">
        <v>31</v>
      </c>
      <c r="G371" s="2" t="s">
        <v>50</v>
      </c>
      <c r="H371" s="2" t="s">
        <v>66</v>
      </c>
      <c r="I371" s="2" t="s">
        <v>51</v>
      </c>
      <c r="J371" s="2" t="s">
        <v>96</v>
      </c>
      <c r="K371" s="2" t="s">
        <v>121</v>
      </c>
      <c r="L371" s="2" t="s">
        <v>83</v>
      </c>
      <c r="M371" s="2" t="s">
        <v>36</v>
      </c>
      <c r="N371" s="2" t="s">
        <v>37</v>
      </c>
      <c r="O371" s="2" t="s">
        <v>305</v>
      </c>
      <c r="P371" s="2" t="s">
        <v>218</v>
      </c>
      <c r="Q371" s="2" t="s">
        <v>566</v>
      </c>
    </row>
    <row r="372" spans="1:17">
      <c r="A372" s="2" t="s">
        <v>625</v>
      </c>
      <c r="B372" s="2" t="str">
        <f>[1]Sheet1!M372</f>
        <v>男</v>
      </c>
      <c r="C372" s="3" t="str" cm="1">
        <f t="array" ref="C3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72" s="2" t="str">
        <f>MID([1]Sheet1!F372,FIND("(",[1]Sheet1!F372)+1,FIND("-",[1]Sheet1!F372)-FIND("(",[1]Sheet1!F372)-1)</f>
        <v>重庆</v>
      </c>
      <c r="E372" s="2" t="str">
        <f>MID([1]Sheet1!F372,FIND("-",[1]Sheet1!F372)+1,FIND(")",[1]Sheet1!F372)-FIND("-",[1]Sheet1!F372)-1)</f>
        <v>重庆</v>
      </c>
      <c r="F372" s="2" t="s">
        <v>159</v>
      </c>
      <c r="G372" s="2" t="s">
        <v>19</v>
      </c>
      <c r="H372" s="2" t="s">
        <v>66</v>
      </c>
      <c r="I372" s="2" t="s">
        <v>34</v>
      </c>
      <c r="J372" s="2" t="s">
        <v>82</v>
      </c>
      <c r="K372" s="2" t="s">
        <v>121</v>
      </c>
      <c r="L372" s="2" t="s">
        <v>24</v>
      </c>
      <c r="M372" s="2" t="s">
        <v>36</v>
      </c>
      <c r="N372" s="2" t="s">
        <v>37</v>
      </c>
      <c r="O372" s="2" t="s">
        <v>256</v>
      </c>
      <c r="P372" s="2" t="s">
        <v>86</v>
      </c>
      <c r="Q372" s="2" t="s">
        <v>133</v>
      </c>
    </row>
    <row r="373" spans="1:17">
      <c r="A373" s="2" t="s">
        <v>617</v>
      </c>
      <c r="B373" s="2" t="str">
        <f>[1]Sheet1!M373</f>
        <v>男</v>
      </c>
      <c r="C373" s="3" t="str" cm="1">
        <f t="array" ref="C3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73" s="2" t="str">
        <f>MID([1]Sheet1!F373,FIND("(",[1]Sheet1!F373)+1,FIND("-",[1]Sheet1!F373)-FIND("(",[1]Sheet1!F373)-1)</f>
        <v>宁夏</v>
      </c>
      <c r="E373" s="2" t="str">
        <f>MID([1]Sheet1!F373,FIND("-",[1]Sheet1!F373)+1,FIND(")",[1]Sheet1!F373)-FIND("-",[1]Sheet1!F373)-1)</f>
        <v>银川</v>
      </c>
      <c r="F373" s="2" t="s">
        <v>18</v>
      </c>
      <c r="G373" s="2" t="s">
        <v>32</v>
      </c>
      <c r="H373" s="2" t="s">
        <v>66</v>
      </c>
      <c r="I373" s="2" t="s">
        <v>21</v>
      </c>
      <c r="J373" s="2" t="s">
        <v>96</v>
      </c>
      <c r="K373" s="2" t="s">
        <v>121</v>
      </c>
      <c r="L373" s="2" t="s">
        <v>24</v>
      </c>
      <c r="M373" s="2" t="s">
        <v>36</v>
      </c>
      <c r="N373" s="2" t="s">
        <v>37</v>
      </c>
      <c r="O373" s="2" t="s">
        <v>422</v>
      </c>
      <c r="P373" s="2" t="s">
        <v>218</v>
      </c>
      <c r="Q373" s="2" t="s">
        <v>68</v>
      </c>
    </row>
    <row r="374" spans="1:17">
      <c r="A374" s="2" t="s">
        <v>626</v>
      </c>
      <c r="B374" s="2" t="str">
        <f>[1]Sheet1!M374</f>
        <v>男</v>
      </c>
      <c r="C374" s="3" t="str" cm="1">
        <f t="array" ref="C3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374" s="2" t="str">
        <f>MID([1]Sheet1!F374,FIND("(",[1]Sheet1!F374)+1,FIND("-",[1]Sheet1!F374)-FIND("(",[1]Sheet1!F374)-1)</f>
        <v>浙江</v>
      </c>
      <c r="E374" s="2" t="str">
        <f>MID([1]Sheet1!F374,FIND("-",[1]Sheet1!F374)+1,FIND(")",[1]Sheet1!F374)-FIND("-",[1]Sheet1!F374)-1)</f>
        <v>台州</v>
      </c>
      <c r="F374" s="2" t="s">
        <v>31</v>
      </c>
      <c r="G374" s="2" t="s">
        <v>50</v>
      </c>
      <c r="H374" s="2" t="s">
        <v>66</v>
      </c>
      <c r="I374" s="2" t="s">
        <v>34</v>
      </c>
      <c r="J374" s="2" t="s">
        <v>82</v>
      </c>
      <c r="K374" s="2" t="s">
        <v>117</v>
      </c>
      <c r="L374" s="2" t="s">
        <v>24</v>
      </c>
      <c r="M374" s="2" t="s">
        <v>36</v>
      </c>
      <c r="N374" s="2" t="s">
        <v>85</v>
      </c>
      <c r="O374" s="2" t="s">
        <v>47</v>
      </c>
      <c r="P374" s="2" t="s">
        <v>28</v>
      </c>
      <c r="Q374" s="2" t="s">
        <v>133</v>
      </c>
    </row>
    <row r="375" spans="1:17">
      <c r="A375" s="2" t="s">
        <v>627</v>
      </c>
      <c r="B375" s="2" t="str">
        <f>[1]Sheet1!M375</f>
        <v>男</v>
      </c>
      <c r="C375" s="3" t="str" cm="1">
        <f t="array" ref="C3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75" s="2" t="str">
        <f>MID([1]Sheet1!F375,FIND("(",[1]Sheet1!F375)+1,FIND("-",[1]Sheet1!F375)-FIND("(",[1]Sheet1!F375)-1)</f>
        <v>山东</v>
      </c>
      <c r="E375" s="2" t="str">
        <f>MID([1]Sheet1!F375,FIND("-",[1]Sheet1!F375)+1,FIND(")",[1]Sheet1!F375)-FIND("-",[1]Sheet1!F375)-1)</f>
        <v>枣庄</v>
      </c>
      <c r="F375" s="2" t="s">
        <v>70</v>
      </c>
      <c r="G375" s="2" t="s">
        <v>114</v>
      </c>
      <c r="H375" s="2" t="s">
        <v>20</v>
      </c>
      <c r="I375" s="2" t="s">
        <v>21</v>
      </c>
      <c r="J375" s="2" t="s">
        <v>77</v>
      </c>
      <c r="K375" s="2" t="s">
        <v>304</v>
      </c>
      <c r="L375" s="2" t="s">
        <v>83</v>
      </c>
      <c r="M375" s="2" t="s">
        <v>143</v>
      </c>
      <c r="N375" s="2" t="s">
        <v>37</v>
      </c>
      <c r="O375" s="2" t="s">
        <v>58</v>
      </c>
      <c r="P375" s="2" t="s">
        <v>179</v>
      </c>
      <c r="Q375" s="2" t="s">
        <v>261</v>
      </c>
    </row>
    <row r="376" spans="1:17">
      <c r="A376" s="2" t="s">
        <v>628</v>
      </c>
      <c r="B376" s="2" t="str">
        <f>[1]Sheet1!M376</f>
        <v>男</v>
      </c>
      <c r="C376" s="3" t="str" cm="1">
        <f t="array" ref="C3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76" s="2" t="str">
        <f>MID([1]Sheet1!F376,FIND("(",[1]Sheet1!F376)+1,FIND("-",[1]Sheet1!F376)-FIND("(",[1]Sheet1!F376)-1)</f>
        <v>河南</v>
      </c>
      <c r="E376" s="2" t="str">
        <f>MID([1]Sheet1!F376,FIND("-",[1]Sheet1!F376)+1,FIND(")",[1]Sheet1!F376)-FIND("-",[1]Sheet1!F376)-1)</f>
        <v>郑州</v>
      </c>
      <c r="F376" s="2" t="s">
        <v>159</v>
      </c>
      <c r="G376" s="2" t="s">
        <v>19</v>
      </c>
      <c r="H376" s="2" t="s">
        <v>66</v>
      </c>
      <c r="I376" s="2" t="s">
        <v>51</v>
      </c>
      <c r="J376" s="2" t="s">
        <v>56</v>
      </c>
      <c r="K376" s="2" t="s">
        <v>117</v>
      </c>
      <c r="L376" s="2" t="s">
        <v>24</v>
      </c>
      <c r="M376" s="2" t="s">
        <v>25</v>
      </c>
      <c r="N376" s="2" t="s">
        <v>26</v>
      </c>
      <c r="O376" s="2" t="s">
        <v>47</v>
      </c>
      <c r="P376" s="2" t="s">
        <v>59</v>
      </c>
      <c r="Q376" s="2" t="s">
        <v>172</v>
      </c>
    </row>
    <row r="377" spans="1:17">
      <c r="A377" s="2" t="s">
        <v>629</v>
      </c>
      <c r="B377" s="2" t="str">
        <f>[1]Sheet1!M377</f>
        <v>男</v>
      </c>
      <c r="C377" s="3" t="str" cm="1">
        <f t="array" ref="C3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77" s="2" t="str">
        <f>MID([1]Sheet1!F377,FIND("(",[1]Sheet1!F377)+1,FIND("-",[1]Sheet1!F377)-FIND("(",[1]Sheet1!F377)-1)</f>
        <v>河南</v>
      </c>
      <c r="E377" s="2" t="str">
        <f>MID([1]Sheet1!F377,FIND("-",[1]Sheet1!F377)+1,FIND(")",[1]Sheet1!F377)-FIND("-",[1]Sheet1!F377)-1)</f>
        <v>郑州</v>
      </c>
      <c r="F377" s="2" t="s">
        <v>42</v>
      </c>
      <c r="G377" s="2" t="s">
        <v>32</v>
      </c>
      <c r="H377" s="2" t="s">
        <v>66</v>
      </c>
      <c r="I377" s="2" t="s">
        <v>43</v>
      </c>
      <c r="J377" s="2" t="s">
        <v>82</v>
      </c>
      <c r="K377" s="2" t="s">
        <v>121</v>
      </c>
      <c r="L377" s="2" t="s">
        <v>24</v>
      </c>
      <c r="M377" s="2" t="s">
        <v>36</v>
      </c>
      <c r="N377" s="2" t="s">
        <v>85</v>
      </c>
      <c r="O377" s="2" t="s">
        <v>204</v>
      </c>
      <c r="P377" s="2" t="s">
        <v>39</v>
      </c>
      <c r="Q377" s="2" t="s">
        <v>400</v>
      </c>
    </row>
    <row r="378" spans="1:17">
      <c r="A378" s="2" t="s">
        <v>630</v>
      </c>
      <c r="B378" s="2" t="str">
        <f>[1]Sheet1!M378</f>
        <v>男</v>
      </c>
      <c r="C378" s="3" t="str" cm="1">
        <f t="array" ref="C3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78" s="2" t="str">
        <f>MID([1]Sheet1!F378,FIND("(",[1]Sheet1!F378)+1,FIND("-",[1]Sheet1!F378)-FIND("(",[1]Sheet1!F378)-1)</f>
        <v>山东</v>
      </c>
      <c r="E378" s="2" t="str">
        <f>MID([1]Sheet1!F378,FIND("-",[1]Sheet1!F378)+1,FIND(")",[1]Sheet1!F378)-FIND("-",[1]Sheet1!F378)-1)</f>
        <v>青岛</v>
      </c>
      <c r="F378" s="2" t="s">
        <v>31</v>
      </c>
      <c r="G378" s="2" t="s">
        <v>50</v>
      </c>
      <c r="H378" s="2" t="s">
        <v>66</v>
      </c>
      <c r="I378" s="2" t="s">
        <v>21</v>
      </c>
      <c r="J378" s="2" t="s">
        <v>22</v>
      </c>
      <c r="K378" s="2" t="s">
        <v>121</v>
      </c>
      <c r="L378" s="2" t="s">
        <v>24</v>
      </c>
      <c r="M378" s="2" t="s">
        <v>36</v>
      </c>
      <c r="N378" s="2" t="s">
        <v>26</v>
      </c>
      <c r="O378" s="2" t="s">
        <v>97</v>
      </c>
      <c r="P378" s="2" t="s">
        <v>63</v>
      </c>
      <c r="Q378" s="2" t="s">
        <v>312</v>
      </c>
    </row>
    <row r="379" spans="1:17">
      <c r="A379" s="2" t="s">
        <v>631</v>
      </c>
      <c r="B379" s="2" t="str">
        <f>[1]Sheet1!M379</f>
        <v>男</v>
      </c>
      <c r="C379" s="3" t="str" cm="1">
        <f t="array" ref="C3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79" s="2" t="str">
        <f>MID([1]Sheet1!F379,FIND("(",[1]Sheet1!F379)+1,FIND("-",[1]Sheet1!F379)-FIND("(",[1]Sheet1!F379)-1)</f>
        <v>湖北</v>
      </c>
      <c r="E379" s="2" t="str">
        <f>MID([1]Sheet1!F379,FIND("-",[1]Sheet1!F379)+1,FIND(")",[1]Sheet1!F379)-FIND("-",[1]Sheet1!F379)-1)</f>
        <v>襄阳</v>
      </c>
      <c r="F379" s="2" t="s">
        <v>18</v>
      </c>
      <c r="G379" s="2" t="s">
        <v>162</v>
      </c>
      <c r="H379" s="2" t="s">
        <v>66</v>
      </c>
      <c r="I379" s="2" t="s">
        <v>51</v>
      </c>
      <c r="J379" s="2" t="s">
        <v>77</v>
      </c>
      <c r="K379" s="2" t="s">
        <v>117</v>
      </c>
      <c r="L379" s="2" t="s">
        <v>24</v>
      </c>
      <c r="M379" s="2" t="s">
        <v>25</v>
      </c>
      <c r="N379" s="2" t="s">
        <v>26</v>
      </c>
      <c r="O379" s="2" t="s">
        <v>97</v>
      </c>
      <c r="P379" s="2" t="s">
        <v>59</v>
      </c>
      <c r="Q379" s="2" t="s">
        <v>94</v>
      </c>
    </row>
    <row r="380" spans="1:17">
      <c r="A380" s="2" t="s">
        <v>632</v>
      </c>
      <c r="B380" s="2" t="str">
        <f>[1]Sheet1!M380</f>
        <v>女</v>
      </c>
      <c r="C380" s="3" t="str" cm="1">
        <f t="array" ref="C3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380" s="2" t="str">
        <f>MID([1]Sheet1!F380,FIND("(",[1]Sheet1!F380)+1,FIND("-",[1]Sheet1!F380)-FIND("(",[1]Sheet1!F380)-1)</f>
        <v>广东</v>
      </c>
      <c r="E380" s="2" t="str">
        <f>MID([1]Sheet1!F380,FIND("-",[1]Sheet1!F380)+1,FIND(")",[1]Sheet1!F380)-FIND("-",[1]Sheet1!F380)-1)</f>
        <v>揭阳</v>
      </c>
      <c r="F380" s="2" t="s">
        <v>18</v>
      </c>
      <c r="G380" s="2" t="s">
        <v>50</v>
      </c>
      <c r="H380" s="2" t="s">
        <v>20</v>
      </c>
      <c r="I380" s="2" t="s">
        <v>43</v>
      </c>
      <c r="J380" s="2" t="s">
        <v>82</v>
      </c>
      <c r="K380" s="2" t="s">
        <v>307</v>
      </c>
      <c r="L380" s="2" t="s">
        <v>83</v>
      </c>
      <c r="M380" s="2" t="s">
        <v>71</v>
      </c>
      <c r="N380" s="2" t="s">
        <v>37</v>
      </c>
      <c r="O380" s="2" t="s">
        <v>204</v>
      </c>
      <c r="P380" s="2" t="s">
        <v>39</v>
      </c>
      <c r="Q380" s="2" t="s">
        <v>133</v>
      </c>
    </row>
    <row r="381" spans="1:17">
      <c r="A381" s="2" t="s">
        <v>633</v>
      </c>
      <c r="B381" s="2" t="str">
        <f>[1]Sheet1!M381</f>
        <v>男</v>
      </c>
      <c r="C381" s="3" t="str" cm="1">
        <f t="array" ref="C3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81" s="2" t="str">
        <f>MID([1]Sheet1!F381,FIND("(",[1]Sheet1!F381)+1,FIND("-",[1]Sheet1!F381)-FIND("(",[1]Sheet1!F381)-1)</f>
        <v>河南</v>
      </c>
      <c r="E381" s="2" t="str">
        <f>MID([1]Sheet1!F381,FIND("-",[1]Sheet1!F381)+1,FIND(")",[1]Sheet1!F381)-FIND("-",[1]Sheet1!F381)-1)</f>
        <v>平顶山</v>
      </c>
      <c r="F381" s="2" t="s">
        <v>31</v>
      </c>
      <c r="G381" s="2" t="s">
        <v>81</v>
      </c>
      <c r="H381" s="2" t="s">
        <v>66</v>
      </c>
      <c r="I381" s="2" t="s">
        <v>21</v>
      </c>
      <c r="J381" s="2" t="s">
        <v>56</v>
      </c>
      <c r="K381" s="2" t="s">
        <v>117</v>
      </c>
      <c r="L381" s="2" t="s">
        <v>24</v>
      </c>
      <c r="M381" s="2" t="s">
        <v>36</v>
      </c>
      <c r="N381" s="2" t="s">
        <v>37</v>
      </c>
      <c r="O381" s="2" t="s">
        <v>58</v>
      </c>
      <c r="P381" s="2" t="s">
        <v>63</v>
      </c>
      <c r="Q381" s="2" t="s">
        <v>400</v>
      </c>
    </row>
    <row r="382" spans="1:17">
      <c r="A382" s="2" t="s">
        <v>634</v>
      </c>
      <c r="B382" s="2" t="str">
        <f>[1]Sheet1!M382</f>
        <v>男</v>
      </c>
      <c r="C382" s="3" t="str" cm="1">
        <f t="array" ref="C3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82" s="2" t="str">
        <f>MID([1]Sheet1!F382,FIND("(",[1]Sheet1!F382)+1,FIND("-",[1]Sheet1!F382)-FIND("(",[1]Sheet1!F382)-1)</f>
        <v>湖南</v>
      </c>
      <c r="E382" s="2" t="str">
        <f>MID([1]Sheet1!F382,FIND("-",[1]Sheet1!F382)+1,FIND(")",[1]Sheet1!F382)-FIND("-",[1]Sheet1!F382)-1)</f>
        <v>邵阳</v>
      </c>
      <c r="F382" s="2" t="s">
        <v>18</v>
      </c>
      <c r="G382" s="2" t="s">
        <v>81</v>
      </c>
      <c r="H382" s="2" t="s">
        <v>20</v>
      </c>
      <c r="I382" s="2" t="s">
        <v>21</v>
      </c>
      <c r="J382" s="2" t="s">
        <v>82</v>
      </c>
      <c r="K382" s="2" t="s">
        <v>121</v>
      </c>
      <c r="L382" s="2" t="s">
        <v>24</v>
      </c>
      <c r="M382" s="2" t="s">
        <v>45</v>
      </c>
      <c r="N382" s="2" t="s">
        <v>37</v>
      </c>
      <c r="O382" s="2" t="s">
        <v>47</v>
      </c>
      <c r="P382" s="2" t="s">
        <v>28</v>
      </c>
      <c r="Q382" s="2" t="s">
        <v>133</v>
      </c>
    </row>
    <row r="383" spans="1:17">
      <c r="A383" s="2" t="s">
        <v>635</v>
      </c>
      <c r="B383" s="2" t="str">
        <f>[1]Sheet1!M383</f>
        <v>男</v>
      </c>
      <c r="C383" s="3" t="str" cm="1">
        <f t="array" ref="C3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83" s="2" t="str">
        <f>MID([1]Sheet1!F383,FIND("(",[1]Sheet1!F383)+1,FIND("-",[1]Sheet1!F383)-FIND("(",[1]Sheet1!F383)-1)</f>
        <v>湖北</v>
      </c>
      <c r="E383" s="2" t="str">
        <f>MID([1]Sheet1!F383,FIND("-",[1]Sheet1!F383)+1,FIND(")",[1]Sheet1!F383)-FIND("-",[1]Sheet1!F383)-1)</f>
        <v>咸宁</v>
      </c>
      <c r="F383" s="2" t="s">
        <v>42</v>
      </c>
      <c r="G383" s="2" t="s">
        <v>81</v>
      </c>
      <c r="H383" s="2" t="s">
        <v>20</v>
      </c>
      <c r="I383" s="2" t="s">
        <v>21</v>
      </c>
      <c r="J383" s="2" t="s">
        <v>82</v>
      </c>
      <c r="K383" s="2" t="s">
        <v>636</v>
      </c>
      <c r="L383" s="2" t="s">
        <v>24</v>
      </c>
      <c r="M383" s="2" t="s">
        <v>36</v>
      </c>
      <c r="N383" s="2" t="s">
        <v>26</v>
      </c>
      <c r="O383" s="2" t="s">
        <v>47</v>
      </c>
      <c r="P383" s="2" t="s">
        <v>218</v>
      </c>
      <c r="Q383" s="2" t="s">
        <v>298</v>
      </c>
    </row>
    <row r="384" spans="1:17">
      <c r="A384" s="2" t="s">
        <v>637</v>
      </c>
      <c r="B384" s="2" t="str">
        <f>[1]Sheet1!M384</f>
        <v>男</v>
      </c>
      <c r="C384" s="3" t="str" cm="1">
        <f t="array" ref="C3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84" s="2" t="str">
        <f>MID([1]Sheet1!F384,FIND("(",[1]Sheet1!F384)+1,FIND("-",[1]Sheet1!F384)-FIND("(",[1]Sheet1!F384)-1)</f>
        <v>重庆</v>
      </c>
      <c r="E384" s="2" t="str">
        <f>MID([1]Sheet1!F384,FIND("-",[1]Sheet1!F384)+1,FIND(")",[1]Sheet1!F384)-FIND("-",[1]Sheet1!F384)-1)</f>
        <v>重庆</v>
      </c>
      <c r="F384" s="2" t="s">
        <v>88</v>
      </c>
      <c r="G384" s="2" t="s">
        <v>50</v>
      </c>
      <c r="H384" s="2" t="s">
        <v>20</v>
      </c>
      <c r="I384" s="2" t="s">
        <v>21</v>
      </c>
      <c r="J384" s="2" t="s">
        <v>22</v>
      </c>
      <c r="K384" s="2" t="s">
        <v>117</v>
      </c>
      <c r="L384" s="2" t="s">
        <v>24</v>
      </c>
      <c r="M384" s="2" t="s">
        <v>36</v>
      </c>
      <c r="N384" s="2" t="s">
        <v>105</v>
      </c>
      <c r="O384" s="2" t="s">
        <v>47</v>
      </c>
      <c r="P384" s="2" t="s">
        <v>63</v>
      </c>
      <c r="Q384" s="2" t="s">
        <v>101</v>
      </c>
    </row>
    <row r="385" spans="1:17">
      <c r="A385" s="2" t="s">
        <v>638</v>
      </c>
      <c r="B385" s="2" t="str">
        <f>[1]Sheet1!M385</f>
        <v>男</v>
      </c>
      <c r="C385" s="3" t="str" cm="1">
        <f t="array" ref="C3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385" s="2" t="str">
        <f>MID([1]Sheet1!F385,FIND("(",[1]Sheet1!F385)+1,FIND("-",[1]Sheet1!F385)-FIND("(",[1]Sheet1!F385)-1)</f>
        <v>天津</v>
      </c>
      <c r="E385" s="2" t="str">
        <f>MID([1]Sheet1!F385,FIND("-",[1]Sheet1!F385)+1,FIND(")",[1]Sheet1!F385)-FIND("-",[1]Sheet1!F385)-1)</f>
        <v>天津</v>
      </c>
      <c r="F385" s="2" t="s">
        <v>70</v>
      </c>
      <c r="G385" s="2" t="s">
        <v>114</v>
      </c>
      <c r="H385" s="2" t="s">
        <v>20</v>
      </c>
      <c r="I385" s="2" t="s">
        <v>21</v>
      </c>
      <c r="J385" s="2" t="s">
        <v>22</v>
      </c>
      <c r="K385" s="2" t="s">
        <v>412</v>
      </c>
      <c r="L385" s="2" t="s">
        <v>24</v>
      </c>
      <c r="M385" s="2" t="s">
        <v>92</v>
      </c>
      <c r="N385" s="2" t="s">
        <v>37</v>
      </c>
      <c r="O385" s="2" t="s">
        <v>89</v>
      </c>
      <c r="P385" s="2" t="s">
        <v>28</v>
      </c>
      <c r="Q385" s="2" t="s">
        <v>172</v>
      </c>
    </row>
    <row r="386" spans="1:17">
      <c r="A386" s="2" t="s">
        <v>639</v>
      </c>
      <c r="B386" s="2" t="str">
        <f>[1]Sheet1!M386</f>
        <v>男</v>
      </c>
      <c r="C386" s="3" t="str" cm="1">
        <f t="array" ref="C3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86" s="2" t="str">
        <f>MID([1]Sheet1!F386,FIND("(",[1]Sheet1!F386)+1,FIND("-",[1]Sheet1!F386)-FIND("(",[1]Sheet1!F386)-1)</f>
        <v>湖北</v>
      </c>
      <c r="E386" s="2" t="str">
        <f>MID([1]Sheet1!F386,FIND("-",[1]Sheet1!F386)+1,FIND(")",[1]Sheet1!F386)-FIND("-",[1]Sheet1!F386)-1)</f>
        <v>武汉</v>
      </c>
      <c r="F386" s="2" t="s">
        <v>18</v>
      </c>
      <c r="G386" s="2" t="s">
        <v>32</v>
      </c>
      <c r="H386" s="2" t="s">
        <v>66</v>
      </c>
      <c r="I386" s="2" t="s">
        <v>51</v>
      </c>
      <c r="J386" s="2" t="s">
        <v>77</v>
      </c>
      <c r="K386" s="2" t="s">
        <v>115</v>
      </c>
      <c r="L386" s="2" t="s">
        <v>24</v>
      </c>
      <c r="M386" s="2" t="s">
        <v>67</v>
      </c>
      <c r="N386" s="2" t="s">
        <v>37</v>
      </c>
      <c r="O386" s="2" t="s">
        <v>58</v>
      </c>
      <c r="P386" s="2" t="s">
        <v>39</v>
      </c>
      <c r="Q386" s="2" t="s">
        <v>75</v>
      </c>
    </row>
    <row r="387" spans="1:17">
      <c r="A387" s="2" t="s">
        <v>640</v>
      </c>
      <c r="B387" s="2" t="str">
        <f>[1]Sheet1!M387</f>
        <v>男</v>
      </c>
      <c r="C387" s="3" t="str" cm="1">
        <f t="array" ref="C3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87" s="2" t="str">
        <f>MID([1]Sheet1!F387,FIND("(",[1]Sheet1!F387)+1,FIND("-",[1]Sheet1!F387)-FIND("(",[1]Sheet1!F387)-1)</f>
        <v>宁夏</v>
      </c>
      <c r="E387" s="2" t="str">
        <f>MID([1]Sheet1!F387,FIND("-",[1]Sheet1!F387)+1,FIND(")",[1]Sheet1!F387)-FIND("-",[1]Sheet1!F387)-1)</f>
        <v>吴忠</v>
      </c>
      <c r="F387" s="2" t="s">
        <v>42</v>
      </c>
      <c r="G387" s="2" t="s">
        <v>50</v>
      </c>
      <c r="H387" s="2" t="s">
        <v>66</v>
      </c>
      <c r="I387" s="2" t="s">
        <v>73</v>
      </c>
      <c r="J387" s="2" t="s">
        <v>44</v>
      </c>
      <c r="K387" s="2" t="s">
        <v>304</v>
      </c>
      <c r="L387" s="2" t="s">
        <v>24</v>
      </c>
      <c r="M387" s="2" t="s">
        <v>78</v>
      </c>
      <c r="N387" s="2" t="s">
        <v>37</v>
      </c>
      <c r="O387" s="2" t="s">
        <v>27</v>
      </c>
      <c r="P387" s="2" t="s">
        <v>39</v>
      </c>
      <c r="Q387" s="2" t="s">
        <v>641</v>
      </c>
    </row>
    <row r="388" spans="1:17">
      <c r="A388" s="2" t="s">
        <v>642</v>
      </c>
      <c r="B388" s="2" t="str">
        <f>[1]Sheet1!M388</f>
        <v>男</v>
      </c>
      <c r="C388" s="3" t="str" cm="1">
        <f t="array" ref="C3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388" s="2" t="str">
        <f>MID([1]Sheet1!F388,FIND("(",[1]Sheet1!F388)+1,FIND("-",[1]Sheet1!F388)-FIND("(",[1]Sheet1!F388)-1)</f>
        <v>广西</v>
      </c>
      <c r="E388" s="2" t="str">
        <f>MID([1]Sheet1!F388,FIND("-",[1]Sheet1!F388)+1,FIND(")",[1]Sheet1!F388)-FIND("-",[1]Sheet1!F388)-1)</f>
        <v>钦州</v>
      </c>
      <c r="F388" s="2" t="s">
        <v>42</v>
      </c>
      <c r="G388" s="2" t="s">
        <v>81</v>
      </c>
      <c r="H388" s="2" t="s">
        <v>55</v>
      </c>
      <c r="I388" s="2" t="s">
        <v>120</v>
      </c>
      <c r="J388" s="2" t="s">
        <v>56</v>
      </c>
      <c r="K388" s="2" t="s">
        <v>117</v>
      </c>
      <c r="L388" s="2" t="s">
        <v>24</v>
      </c>
      <c r="M388" s="2" t="s">
        <v>36</v>
      </c>
      <c r="N388" s="2" t="s">
        <v>37</v>
      </c>
      <c r="O388" s="2" t="s">
        <v>47</v>
      </c>
      <c r="P388" s="2" t="s">
        <v>28</v>
      </c>
      <c r="Q388" s="2" t="s">
        <v>48</v>
      </c>
    </row>
    <row r="389" spans="1:17">
      <c r="A389" s="2" t="s">
        <v>643</v>
      </c>
      <c r="B389" s="2" t="str">
        <f>[1]Sheet1!M389</f>
        <v>男</v>
      </c>
      <c r="C389" s="3" t="str" cm="1">
        <f t="array" ref="C3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89" s="2" t="str">
        <f>MID([1]Sheet1!F389,FIND("(",[1]Sheet1!F389)+1,FIND("-",[1]Sheet1!F389)-FIND("(",[1]Sheet1!F389)-1)</f>
        <v>甘肃</v>
      </c>
      <c r="E389" s="2" t="str">
        <f>MID([1]Sheet1!F389,FIND("-",[1]Sheet1!F389)+1,FIND(")",[1]Sheet1!F389)-FIND("-",[1]Sheet1!F389)-1)</f>
        <v>武威</v>
      </c>
      <c r="F389" s="2" t="s">
        <v>18</v>
      </c>
      <c r="G389" s="2" t="s">
        <v>32</v>
      </c>
      <c r="H389" s="2" t="s">
        <v>66</v>
      </c>
      <c r="I389" s="2" t="s">
        <v>21</v>
      </c>
      <c r="J389" s="2" t="s">
        <v>56</v>
      </c>
      <c r="K389" s="2" t="s">
        <v>115</v>
      </c>
      <c r="L389" s="2" t="s">
        <v>24</v>
      </c>
      <c r="M389" s="2" t="s">
        <v>36</v>
      </c>
      <c r="N389" s="2" t="s">
        <v>26</v>
      </c>
      <c r="O389" s="2" t="s">
        <v>38</v>
      </c>
      <c r="P389" s="2" t="s">
        <v>175</v>
      </c>
      <c r="Q389" s="2" t="s">
        <v>123</v>
      </c>
    </row>
    <row r="390" spans="1:17">
      <c r="A390" s="2" t="s">
        <v>644</v>
      </c>
      <c r="B390" s="2" t="str">
        <f>[1]Sheet1!M390</f>
        <v>男</v>
      </c>
      <c r="C390" s="3" t="str" cm="1">
        <f t="array" ref="C3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90" s="2" t="str">
        <f>MID([1]Sheet1!F390,FIND("(",[1]Sheet1!F390)+1,FIND("-",[1]Sheet1!F390)-FIND("(",[1]Sheet1!F390)-1)</f>
        <v>四川</v>
      </c>
      <c r="E390" s="2" t="str">
        <f>MID([1]Sheet1!F390,FIND("-",[1]Sheet1!F390)+1,FIND(")",[1]Sheet1!F390)-FIND("-",[1]Sheet1!F390)-1)</f>
        <v>成都</v>
      </c>
      <c r="F390" s="2" t="s">
        <v>159</v>
      </c>
      <c r="G390" s="2" t="s">
        <v>32</v>
      </c>
      <c r="H390" s="2" t="s">
        <v>66</v>
      </c>
      <c r="I390" s="2" t="s">
        <v>43</v>
      </c>
      <c r="J390" s="2" t="s">
        <v>96</v>
      </c>
      <c r="K390" s="2" t="s">
        <v>121</v>
      </c>
      <c r="L390" s="2" t="s">
        <v>24</v>
      </c>
      <c r="M390" s="2" t="s">
        <v>36</v>
      </c>
      <c r="N390" s="2" t="s">
        <v>37</v>
      </c>
      <c r="O390" s="2" t="s">
        <v>47</v>
      </c>
      <c r="P390" s="2" t="s">
        <v>63</v>
      </c>
      <c r="Q390" s="2" t="s">
        <v>645</v>
      </c>
    </row>
    <row r="391" spans="1:17">
      <c r="A391" s="2" t="s">
        <v>646</v>
      </c>
      <c r="B391" s="2" t="str">
        <f>[1]Sheet1!M391</f>
        <v>男</v>
      </c>
      <c r="C391" s="3" t="str" cm="1">
        <f t="array" ref="C3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91" s="2" t="str">
        <f>MID([1]Sheet1!F391,FIND("(",[1]Sheet1!F391)+1,FIND("-",[1]Sheet1!F391)-FIND("(",[1]Sheet1!F391)-1)</f>
        <v>重庆</v>
      </c>
      <c r="E391" s="2" t="str">
        <f>MID([1]Sheet1!F391,FIND("-",[1]Sheet1!F391)+1,FIND(")",[1]Sheet1!F391)-FIND("-",[1]Sheet1!F391)-1)</f>
        <v>重庆</v>
      </c>
      <c r="F391" s="2" t="s">
        <v>88</v>
      </c>
      <c r="G391" s="2" t="s">
        <v>32</v>
      </c>
      <c r="H391" s="2" t="s">
        <v>66</v>
      </c>
      <c r="I391" s="2" t="s">
        <v>34</v>
      </c>
      <c r="J391" s="2" t="s">
        <v>82</v>
      </c>
      <c r="K391" s="2" t="s">
        <v>117</v>
      </c>
      <c r="L391" s="2" t="s">
        <v>24</v>
      </c>
      <c r="M391" s="2" t="s">
        <v>25</v>
      </c>
      <c r="N391" s="2" t="s">
        <v>37</v>
      </c>
      <c r="O391" s="2" t="s">
        <v>58</v>
      </c>
      <c r="P391" s="2" t="s">
        <v>39</v>
      </c>
      <c r="Q391" s="2" t="s">
        <v>647</v>
      </c>
    </row>
    <row r="392" spans="1:17">
      <c r="A392" s="2" t="s">
        <v>648</v>
      </c>
      <c r="B392" s="2" t="str">
        <f>[1]Sheet1!M392</f>
        <v>男</v>
      </c>
      <c r="C392" s="3" t="str" cm="1">
        <f t="array" ref="C3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392" s="2" t="str">
        <f>MID([1]Sheet1!F392,FIND("(",[1]Sheet1!F392)+1,FIND("-",[1]Sheet1!F392)-FIND("(",[1]Sheet1!F392)-1)</f>
        <v>广东</v>
      </c>
      <c r="E392" s="2" t="str">
        <f>MID([1]Sheet1!F392,FIND("-",[1]Sheet1!F392)+1,FIND(")",[1]Sheet1!F392)-FIND("-",[1]Sheet1!F392)-1)</f>
        <v>广州</v>
      </c>
      <c r="F392" s="2" t="s">
        <v>70</v>
      </c>
      <c r="G392" s="2" t="s">
        <v>114</v>
      </c>
      <c r="H392" s="2" t="s">
        <v>66</v>
      </c>
      <c r="I392" s="2" t="s">
        <v>51</v>
      </c>
      <c r="J392" s="2" t="s">
        <v>56</v>
      </c>
      <c r="K392" s="2" t="s">
        <v>130</v>
      </c>
      <c r="L392" s="2" t="s">
        <v>83</v>
      </c>
      <c r="M392" s="2" t="s">
        <v>25</v>
      </c>
      <c r="N392" s="2" t="s">
        <v>37</v>
      </c>
      <c r="O392" s="2" t="s">
        <v>47</v>
      </c>
      <c r="P392" s="2" t="s">
        <v>39</v>
      </c>
      <c r="Q392" s="2" t="s">
        <v>649</v>
      </c>
    </row>
    <row r="393" spans="1:17">
      <c r="A393" s="2" t="s">
        <v>643</v>
      </c>
      <c r="B393" s="2" t="str">
        <f>[1]Sheet1!M393</f>
        <v>男</v>
      </c>
      <c r="C393" s="3" t="str" cm="1">
        <f t="array" ref="C3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393" s="2" t="str">
        <f>MID([1]Sheet1!F393,FIND("(",[1]Sheet1!F393)+1,FIND("-",[1]Sheet1!F393)-FIND("(",[1]Sheet1!F393)-1)</f>
        <v>甘肃</v>
      </c>
      <c r="E393" s="2" t="str">
        <f>MID([1]Sheet1!F393,FIND("-",[1]Sheet1!F393)+1,FIND(")",[1]Sheet1!F393)-FIND("-",[1]Sheet1!F393)-1)</f>
        <v>武威</v>
      </c>
      <c r="F393" s="2" t="s">
        <v>18</v>
      </c>
      <c r="G393" s="2" t="s">
        <v>32</v>
      </c>
      <c r="H393" s="2" t="s">
        <v>66</v>
      </c>
      <c r="I393" s="2" t="s">
        <v>21</v>
      </c>
      <c r="J393" s="2" t="s">
        <v>56</v>
      </c>
      <c r="K393" s="2" t="s">
        <v>115</v>
      </c>
      <c r="L393" s="2" t="s">
        <v>24</v>
      </c>
      <c r="M393" s="2" t="s">
        <v>36</v>
      </c>
      <c r="N393" s="2" t="s">
        <v>37</v>
      </c>
      <c r="O393" s="2" t="s">
        <v>38</v>
      </c>
      <c r="P393" s="2" t="s">
        <v>175</v>
      </c>
      <c r="Q393" s="2" t="s">
        <v>123</v>
      </c>
    </row>
    <row r="394" spans="1:17">
      <c r="A394" s="2" t="s">
        <v>650</v>
      </c>
      <c r="B394" s="2" t="str">
        <f>[1]Sheet1!M394</f>
        <v>男</v>
      </c>
      <c r="C394" s="3" t="str" cm="1">
        <f t="array" ref="C3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394" s="2" t="str">
        <f>MID([1]Sheet1!F394,FIND("(",[1]Sheet1!F394)+1,FIND("-",[1]Sheet1!F394)-FIND("(",[1]Sheet1!F394)-1)</f>
        <v>广东</v>
      </c>
      <c r="E394" s="2" t="str">
        <f>MID([1]Sheet1!F394,FIND("-",[1]Sheet1!F394)+1,FIND(")",[1]Sheet1!F394)-FIND("-",[1]Sheet1!F394)-1)</f>
        <v>广州</v>
      </c>
      <c r="F394" s="2" t="s">
        <v>18</v>
      </c>
      <c r="G394" s="2" t="s">
        <v>19</v>
      </c>
      <c r="H394" s="2" t="s">
        <v>33</v>
      </c>
      <c r="I394" s="2" t="s">
        <v>51</v>
      </c>
      <c r="J394" s="2" t="s">
        <v>82</v>
      </c>
      <c r="K394" s="2" t="s">
        <v>115</v>
      </c>
      <c r="L394" s="2" t="s">
        <v>24</v>
      </c>
      <c r="M394" s="2" t="s">
        <v>71</v>
      </c>
      <c r="N394" s="2" t="s">
        <v>37</v>
      </c>
      <c r="O394" s="2" t="s">
        <v>47</v>
      </c>
      <c r="P394" s="2" t="s">
        <v>63</v>
      </c>
      <c r="Q394" s="2" t="s">
        <v>651</v>
      </c>
    </row>
    <row r="395" spans="1:17">
      <c r="A395" s="2" t="s">
        <v>652</v>
      </c>
      <c r="B395" s="2" t="str">
        <f>[1]Sheet1!M395</f>
        <v>男</v>
      </c>
      <c r="C395" s="3" t="str" cm="1">
        <f t="array" ref="C3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395" s="2" t="str">
        <f>MID([1]Sheet1!F395,FIND("(",[1]Sheet1!F395)+1,FIND("-",[1]Sheet1!F395)-FIND("(",[1]Sheet1!F395)-1)</f>
        <v>四川</v>
      </c>
      <c r="E395" s="2" t="str">
        <f>MID([1]Sheet1!F395,FIND("-",[1]Sheet1!F395)+1,FIND(")",[1]Sheet1!F395)-FIND("-",[1]Sheet1!F395)-1)</f>
        <v>广安</v>
      </c>
      <c r="F395" s="2" t="s">
        <v>88</v>
      </c>
      <c r="G395" s="2" t="s">
        <v>81</v>
      </c>
      <c r="H395" s="2" t="s">
        <v>66</v>
      </c>
      <c r="I395" s="2" t="s">
        <v>51</v>
      </c>
      <c r="J395" s="2" t="s">
        <v>77</v>
      </c>
      <c r="K395" s="2" t="s">
        <v>130</v>
      </c>
      <c r="L395" s="2" t="s">
        <v>24</v>
      </c>
      <c r="M395" s="2" t="s">
        <v>653</v>
      </c>
      <c r="N395" s="2" t="s">
        <v>46</v>
      </c>
      <c r="O395" s="2" t="s">
        <v>47</v>
      </c>
      <c r="P395" s="2" t="s">
        <v>59</v>
      </c>
      <c r="Q395" s="2" t="s">
        <v>118</v>
      </c>
    </row>
    <row r="396" spans="1:17">
      <c r="A396" s="2" t="s">
        <v>654</v>
      </c>
      <c r="B396" s="2" t="str">
        <f>[1]Sheet1!M396</f>
        <v>男</v>
      </c>
      <c r="C396" s="3" t="str" cm="1">
        <f t="array" ref="C3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396" s="2" t="str">
        <f>MID([1]Sheet1!F396,FIND("(",[1]Sheet1!F396)+1,FIND("-",[1]Sheet1!F396)-FIND("(",[1]Sheet1!F396)-1)</f>
        <v>河南</v>
      </c>
      <c r="E396" s="2" t="str">
        <f>MID([1]Sheet1!F396,FIND("-",[1]Sheet1!F396)+1,FIND(")",[1]Sheet1!F396)-FIND("-",[1]Sheet1!F396)-1)</f>
        <v>洛阳</v>
      </c>
      <c r="F396" s="2" t="s">
        <v>42</v>
      </c>
      <c r="G396" s="2" t="s">
        <v>32</v>
      </c>
      <c r="H396" s="2" t="s">
        <v>20</v>
      </c>
      <c r="I396" s="2" t="s">
        <v>21</v>
      </c>
      <c r="J396" s="2" t="s">
        <v>77</v>
      </c>
      <c r="K396" s="2" t="s">
        <v>121</v>
      </c>
      <c r="L396" s="2" t="s">
        <v>83</v>
      </c>
      <c r="M396" s="2" t="s">
        <v>57</v>
      </c>
      <c r="N396" s="2" t="s">
        <v>105</v>
      </c>
      <c r="O396" s="2" t="s">
        <v>450</v>
      </c>
      <c r="P396" s="2" t="s">
        <v>289</v>
      </c>
      <c r="Q396" s="2" t="s">
        <v>123</v>
      </c>
    </row>
    <row r="397" spans="1:17">
      <c r="A397" s="2" t="s">
        <v>655</v>
      </c>
      <c r="B397" s="2" t="str">
        <f>[1]Sheet1!M397</f>
        <v>男</v>
      </c>
      <c r="C397" s="3" t="str" cm="1">
        <f t="array" ref="C3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97" s="2" t="str">
        <f>MID([1]Sheet1!F397,FIND("(",[1]Sheet1!F397)+1,FIND("-",[1]Sheet1!F397)-FIND("(",[1]Sheet1!F397)-1)</f>
        <v>湖北</v>
      </c>
      <c r="E397" s="2" t="str">
        <f>MID([1]Sheet1!F397,FIND("-",[1]Sheet1!F397)+1,FIND(")",[1]Sheet1!F397)-FIND("-",[1]Sheet1!F397)-1)</f>
        <v>恩施</v>
      </c>
      <c r="F397" s="2" t="s">
        <v>70</v>
      </c>
      <c r="G397" s="2" t="s">
        <v>19</v>
      </c>
      <c r="H397" s="2" t="s">
        <v>66</v>
      </c>
      <c r="I397" s="2" t="s">
        <v>21</v>
      </c>
      <c r="J397" s="2" t="s">
        <v>77</v>
      </c>
      <c r="K397" s="2" t="s">
        <v>121</v>
      </c>
      <c r="L397" s="2" t="s">
        <v>83</v>
      </c>
      <c r="M397" s="2" t="s">
        <v>25</v>
      </c>
      <c r="N397" s="2" t="s">
        <v>37</v>
      </c>
      <c r="O397" s="2" t="s">
        <v>181</v>
      </c>
      <c r="P397" s="2" t="s">
        <v>59</v>
      </c>
      <c r="Q397" s="2" t="s">
        <v>75</v>
      </c>
    </row>
    <row r="398" spans="1:17">
      <c r="A398" s="2" t="s">
        <v>656</v>
      </c>
      <c r="B398" s="2" t="str">
        <f>[1]Sheet1!M398</f>
        <v>男</v>
      </c>
      <c r="C398" s="3" t="str" cm="1">
        <f t="array" ref="C3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98" s="2" t="str">
        <f>MID([1]Sheet1!F398,FIND("(",[1]Sheet1!F398)+1,FIND("-",[1]Sheet1!F398)-FIND("(",[1]Sheet1!F398)-1)</f>
        <v>湖北</v>
      </c>
      <c r="E398" s="2" t="str">
        <f>MID([1]Sheet1!F398,FIND("-",[1]Sheet1!F398)+1,FIND(")",[1]Sheet1!F398)-FIND("-",[1]Sheet1!F398)-1)</f>
        <v>武汉</v>
      </c>
      <c r="F398" s="2" t="s">
        <v>42</v>
      </c>
      <c r="G398" s="2" t="s">
        <v>32</v>
      </c>
      <c r="H398" s="2" t="s">
        <v>66</v>
      </c>
      <c r="I398" s="2" t="s">
        <v>21</v>
      </c>
      <c r="J398" s="2" t="s">
        <v>35</v>
      </c>
      <c r="K398" s="2" t="s">
        <v>217</v>
      </c>
      <c r="L398" s="2" t="s">
        <v>24</v>
      </c>
      <c r="M398" s="2" t="s">
        <v>143</v>
      </c>
      <c r="N398" s="2" t="s">
        <v>37</v>
      </c>
      <c r="O398" s="2" t="s">
        <v>192</v>
      </c>
      <c r="P398" s="2" t="s">
        <v>218</v>
      </c>
      <c r="Q398" s="2" t="s">
        <v>657</v>
      </c>
    </row>
    <row r="399" spans="1:17">
      <c r="A399" s="2" t="s">
        <v>658</v>
      </c>
      <c r="B399" s="2" t="str">
        <f>[1]Sheet1!M399</f>
        <v>男</v>
      </c>
      <c r="C399" s="3" t="str" cm="1">
        <f t="array" ref="C3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399)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399" s="2" t="str">
        <f>MID([1]Sheet1!F399,FIND("(",[1]Sheet1!F399)+1,FIND("-",[1]Sheet1!F399)-FIND("(",[1]Sheet1!F399)-1)</f>
        <v>江西</v>
      </c>
      <c r="E399" s="2" t="str">
        <f>MID([1]Sheet1!F399,FIND("-",[1]Sheet1!F399)+1,FIND(")",[1]Sheet1!F399)-FIND("-",[1]Sheet1!F399)-1)</f>
        <v>抚州</v>
      </c>
      <c r="F399" s="2" t="s">
        <v>88</v>
      </c>
      <c r="G399" s="2" t="s">
        <v>32</v>
      </c>
      <c r="H399" s="2" t="s">
        <v>66</v>
      </c>
      <c r="I399" s="2" t="s">
        <v>51</v>
      </c>
      <c r="J399" s="2" t="s">
        <v>82</v>
      </c>
      <c r="K399" s="2" t="s">
        <v>121</v>
      </c>
      <c r="L399" s="2" t="s">
        <v>24</v>
      </c>
      <c r="M399" s="2" t="s">
        <v>448</v>
      </c>
      <c r="N399" s="2" t="s">
        <v>26</v>
      </c>
      <c r="O399" s="2" t="s">
        <v>27</v>
      </c>
      <c r="P399" s="2" t="s">
        <v>86</v>
      </c>
      <c r="Q399" s="2" t="s">
        <v>195</v>
      </c>
    </row>
    <row r="400" spans="1:17">
      <c r="A400" s="2" t="s">
        <v>659</v>
      </c>
      <c r="B400" s="2" t="str">
        <f>[1]Sheet1!M400</f>
        <v>男</v>
      </c>
      <c r="C400" s="3" t="str" cm="1">
        <f t="array" ref="C4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00" s="2" t="str">
        <f>MID([1]Sheet1!F400,FIND("(",[1]Sheet1!F400)+1,FIND("-",[1]Sheet1!F400)-FIND("(",[1]Sheet1!F400)-1)</f>
        <v>广东</v>
      </c>
      <c r="E400" s="2" t="str">
        <f>MID([1]Sheet1!F400,FIND("-",[1]Sheet1!F400)+1,FIND(")",[1]Sheet1!F400)-FIND("-",[1]Sheet1!F400)-1)</f>
        <v>汕头</v>
      </c>
      <c r="F400" s="2" t="s">
        <v>42</v>
      </c>
      <c r="G400" s="2" t="s">
        <v>19</v>
      </c>
      <c r="H400" s="2" t="s">
        <v>33</v>
      </c>
      <c r="I400" s="2" t="s">
        <v>51</v>
      </c>
      <c r="J400" s="2" t="s">
        <v>96</v>
      </c>
      <c r="K400" s="2" t="s">
        <v>117</v>
      </c>
      <c r="L400" s="2" t="s">
        <v>24</v>
      </c>
      <c r="M400" s="2" t="s">
        <v>36</v>
      </c>
      <c r="N400" s="2" t="s">
        <v>37</v>
      </c>
      <c r="O400" s="2" t="s">
        <v>47</v>
      </c>
      <c r="P400" s="2" t="s">
        <v>289</v>
      </c>
      <c r="Q400" s="2" t="s">
        <v>660</v>
      </c>
    </row>
    <row r="401" spans="1:17">
      <c r="A401" s="2" t="s">
        <v>661</v>
      </c>
      <c r="B401" s="2" t="str">
        <f>[1]Sheet1!M401</f>
        <v>男</v>
      </c>
      <c r="C401" s="3" t="str" cm="1">
        <f t="array" ref="C4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01" s="2" t="str">
        <f>MID([1]Sheet1!F401,FIND("(",[1]Sheet1!F401)+1,FIND("-",[1]Sheet1!F401)-FIND("(",[1]Sheet1!F401)-1)</f>
        <v>河南</v>
      </c>
      <c r="E401" s="2" t="str">
        <f>MID([1]Sheet1!F401,FIND("-",[1]Sheet1!F401)+1,FIND(")",[1]Sheet1!F401)-FIND("-",[1]Sheet1!F401)-1)</f>
        <v>洛阳</v>
      </c>
      <c r="F401" s="2" t="s">
        <v>18</v>
      </c>
      <c r="G401" s="2" t="s">
        <v>81</v>
      </c>
      <c r="H401" s="2" t="s">
        <v>33</v>
      </c>
      <c r="I401" s="2" t="s">
        <v>21</v>
      </c>
      <c r="J401" s="2" t="s">
        <v>82</v>
      </c>
      <c r="K401" s="2" t="s">
        <v>117</v>
      </c>
      <c r="L401" s="2" t="s">
        <v>24</v>
      </c>
      <c r="M401" s="2" t="s">
        <v>111</v>
      </c>
      <c r="N401" s="2" t="s">
        <v>37</v>
      </c>
      <c r="O401" s="2" t="s">
        <v>62</v>
      </c>
      <c r="P401" s="2" t="s">
        <v>86</v>
      </c>
      <c r="Q401" s="2" t="s">
        <v>172</v>
      </c>
    </row>
    <row r="402" spans="1:17">
      <c r="A402" s="2" t="s">
        <v>258</v>
      </c>
      <c r="B402" s="2" t="str">
        <f>[1]Sheet1!M402</f>
        <v>男</v>
      </c>
      <c r="C402" s="3" t="str" cm="1">
        <f t="array" ref="C4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02" s="2" t="str">
        <f>MID([1]Sheet1!F402,FIND("(",[1]Sheet1!F402)+1,FIND("-",[1]Sheet1!F402)-FIND("(",[1]Sheet1!F402)-1)</f>
        <v>湖北</v>
      </c>
      <c r="E402" s="2" t="str">
        <f>MID([1]Sheet1!F402,FIND("-",[1]Sheet1!F402)+1,FIND(")",[1]Sheet1!F402)-FIND("-",[1]Sheet1!F402)-1)</f>
        <v>武汉</v>
      </c>
      <c r="F402" s="2" t="s">
        <v>42</v>
      </c>
      <c r="G402" s="2" t="s">
        <v>50</v>
      </c>
      <c r="H402" s="2" t="s">
        <v>20</v>
      </c>
      <c r="I402" s="2" t="s">
        <v>21</v>
      </c>
      <c r="J402" s="2" t="s">
        <v>56</v>
      </c>
      <c r="K402" s="2" t="s">
        <v>115</v>
      </c>
      <c r="L402" s="2" t="s">
        <v>24</v>
      </c>
      <c r="M402" s="2" t="s">
        <v>92</v>
      </c>
      <c r="N402" s="2" t="s">
        <v>85</v>
      </c>
      <c r="O402" s="2" t="s">
        <v>47</v>
      </c>
      <c r="P402" s="2" t="s">
        <v>218</v>
      </c>
      <c r="Q402" s="2" t="s">
        <v>259</v>
      </c>
    </row>
    <row r="403" spans="1:17">
      <c r="A403" s="2" t="s">
        <v>662</v>
      </c>
      <c r="B403" s="2" t="str">
        <f>[1]Sheet1!M403</f>
        <v>男</v>
      </c>
      <c r="C403" s="3" t="str" cm="1">
        <f t="array" ref="C4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03" s="2" t="str">
        <f>MID([1]Sheet1!F403,FIND("(",[1]Sheet1!F403)+1,FIND("-",[1]Sheet1!F403)-FIND("(",[1]Sheet1!F403)-1)</f>
        <v>广东</v>
      </c>
      <c r="E403" s="2" t="str">
        <f>MID([1]Sheet1!F403,FIND("-",[1]Sheet1!F403)+1,FIND(")",[1]Sheet1!F403)-FIND("-",[1]Sheet1!F403)-1)</f>
        <v>茂名</v>
      </c>
      <c r="F403" s="2" t="s">
        <v>42</v>
      </c>
      <c r="G403" s="2" t="s">
        <v>50</v>
      </c>
      <c r="H403" s="2" t="s">
        <v>66</v>
      </c>
      <c r="I403" s="2" t="s">
        <v>21</v>
      </c>
      <c r="J403" s="2" t="s">
        <v>77</v>
      </c>
      <c r="K403" s="2" t="s">
        <v>121</v>
      </c>
      <c r="L403" s="2" t="s">
        <v>24</v>
      </c>
      <c r="M403" s="2" t="s">
        <v>25</v>
      </c>
      <c r="N403" s="2" t="s">
        <v>46</v>
      </c>
      <c r="O403" s="2" t="s">
        <v>47</v>
      </c>
      <c r="P403" s="2" t="s">
        <v>289</v>
      </c>
      <c r="Q403" s="2" t="s">
        <v>246</v>
      </c>
    </row>
    <row r="404" spans="1:17">
      <c r="A404" s="2" t="s">
        <v>663</v>
      </c>
      <c r="B404" s="2" t="str">
        <f>[1]Sheet1!M404</f>
        <v>男</v>
      </c>
      <c r="C404" s="3" t="str" cm="1">
        <f t="array" ref="C4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404" s="2" t="str">
        <f>MID([1]Sheet1!F404,FIND("(",[1]Sheet1!F404)+1,FIND("-",[1]Sheet1!F404)-FIND("(",[1]Sheet1!F404)-1)</f>
        <v>吉林</v>
      </c>
      <c r="E404" s="2" t="str">
        <f>MID([1]Sheet1!F404,FIND("-",[1]Sheet1!F404)+1,FIND(")",[1]Sheet1!F404)-FIND("-",[1]Sheet1!F404)-1)</f>
        <v>长春</v>
      </c>
      <c r="F404" s="2" t="s">
        <v>42</v>
      </c>
      <c r="G404" s="2" t="s">
        <v>19</v>
      </c>
      <c r="H404" s="2" t="s">
        <v>66</v>
      </c>
      <c r="I404" s="2" t="s">
        <v>43</v>
      </c>
      <c r="J404" s="2" t="s">
        <v>56</v>
      </c>
      <c r="K404" s="2" t="s">
        <v>117</v>
      </c>
      <c r="L404" s="2" t="s">
        <v>24</v>
      </c>
      <c r="M404" s="2" t="s">
        <v>126</v>
      </c>
      <c r="N404" s="2" t="s">
        <v>37</v>
      </c>
      <c r="O404" s="2" t="s">
        <v>47</v>
      </c>
      <c r="P404" s="2" t="s">
        <v>39</v>
      </c>
      <c r="Q404" s="2" t="s">
        <v>183</v>
      </c>
    </row>
    <row r="405" spans="1:17">
      <c r="A405" s="2" t="s">
        <v>664</v>
      </c>
      <c r="B405" s="2" t="str">
        <f>[1]Sheet1!M405</f>
        <v>男</v>
      </c>
      <c r="C405" s="3" t="str" cm="1">
        <f t="array" ref="C4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05" s="2" t="str">
        <f>MID([1]Sheet1!F405,FIND("(",[1]Sheet1!F405)+1,FIND("-",[1]Sheet1!F405)-FIND("(",[1]Sheet1!F405)-1)</f>
        <v>广东</v>
      </c>
      <c r="E405" s="2" t="str">
        <f>MID([1]Sheet1!F405,FIND("-",[1]Sheet1!F405)+1,FIND(")",[1]Sheet1!F405)-FIND("-",[1]Sheet1!F405)-1)</f>
        <v>东莞</v>
      </c>
      <c r="F405" s="2" t="s">
        <v>31</v>
      </c>
      <c r="G405" s="2" t="s">
        <v>50</v>
      </c>
      <c r="H405" s="2" t="s">
        <v>33</v>
      </c>
      <c r="I405" s="2" t="s">
        <v>43</v>
      </c>
      <c r="J405" s="2" t="s">
        <v>35</v>
      </c>
      <c r="K405" s="2" t="s">
        <v>240</v>
      </c>
      <c r="L405" s="2" t="s">
        <v>24</v>
      </c>
      <c r="M405" s="2" t="s">
        <v>25</v>
      </c>
      <c r="N405" s="2" t="s">
        <v>37</v>
      </c>
      <c r="O405" s="2" t="s">
        <v>27</v>
      </c>
      <c r="P405" s="2" t="s">
        <v>218</v>
      </c>
      <c r="Q405" s="2" t="s">
        <v>200</v>
      </c>
    </row>
    <row r="406" spans="1:17">
      <c r="A406" s="2" t="s">
        <v>665</v>
      </c>
      <c r="B406" s="2" t="str">
        <f>[1]Sheet1!M406</f>
        <v>男</v>
      </c>
      <c r="C406" s="3" t="str" cm="1">
        <f t="array" ref="C4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06" s="2" t="str">
        <f>MID([1]Sheet1!F406,FIND("(",[1]Sheet1!F406)+1,FIND("-",[1]Sheet1!F406)-FIND("(",[1]Sheet1!F406)-1)</f>
        <v>福建</v>
      </c>
      <c r="E406" s="2" t="str">
        <f>MID([1]Sheet1!F406,FIND("-",[1]Sheet1!F406)+1,FIND(")",[1]Sheet1!F406)-FIND("-",[1]Sheet1!F406)-1)</f>
        <v>泉州</v>
      </c>
      <c r="F406" s="2" t="s">
        <v>18</v>
      </c>
      <c r="G406" s="2" t="s">
        <v>32</v>
      </c>
      <c r="H406" s="2" t="s">
        <v>66</v>
      </c>
      <c r="I406" s="2" t="s">
        <v>43</v>
      </c>
      <c r="J406" s="2" t="s">
        <v>77</v>
      </c>
      <c r="K406" s="2" t="s">
        <v>115</v>
      </c>
      <c r="L406" s="2" t="s">
        <v>24</v>
      </c>
      <c r="M406" s="2" t="s">
        <v>126</v>
      </c>
      <c r="N406" s="2" t="s">
        <v>26</v>
      </c>
      <c r="O406" s="2" t="s">
        <v>199</v>
      </c>
      <c r="P406" s="2" t="s">
        <v>86</v>
      </c>
      <c r="Q406" s="2" t="s">
        <v>68</v>
      </c>
    </row>
    <row r="407" spans="1:17">
      <c r="A407" s="2" t="s">
        <v>666</v>
      </c>
      <c r="B407" s="2" t="str">
        <f>[1]Sheet1!M407</f>
        <v>男</v>
      </c>
      <c r="C407" s="3" t="str" cm="1">
        <f t="array" ref="C4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07" s="2" t="str">
        <f>MID([1]Sheet1!F407,FIND("(",[1]Sheet1!F407)+1,FIND("-",[1]Sheet1!F407)-FIND("(",[1]Sheet1!F407)-1)</f>
        <v>山东</v>
      </c>
      <c r="E407" s="2" t="str">
        <f>MID([1]Sheet1!F407,FIND("-",[1]Sheet1!F407)+1,FIND(")",[1]Sheet1!F407)-FIND("-",[1]Sheet1!F407)-1)</f>
        <v>潍坊</v>
      </c>
      <c r="F407" s="2" t="s">
        <v>42</v>
      </c>
      <c r="G407" s="2" t="s">
        <v>19</v>
      </c>
      <c r="H407" s="2" t="s">
        <v>33</v>
      </c>
      <c r="I407" s="2" t="s">
        <v>51</v>
      </c>
      <c r="J407" s="2" t="s">
        <v>22</v>
      </c>
      <c r="K407" s="2" t="s">
        <v>117</v>
      </c>
      <c r="L407" s="2" t="s">
        <v>24</v>
      </c>
      <c r="M407" s="2" t="s">
        <v>25</v>
      </c>
      <c r="N407" s="2" t="s">
        <v>37</v>
      </c>
      <c r="O407" s="2" t="s">
        <v>27</v>
      </c>
      <c r="P407" s="2" t="s">
        <v>63</v>
      </c>
      <c r="Q407" s="2" t="s">
        <v>68</v>
      </c>
    </row>
    <row r="408" spans="1:17">
      <c r="A408" s="2" t="s">
        <v>667</v>
      </c>
      <c r="B408" s="2" t="str">
        <f>[1]Sheet1!M408</f>
        <v>男</v>
      </c>
      <c r="C408" s="3" t="str" cm="1">
        <f t="array" ref="C4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08" s="2" t="str">
        <f>MID([1]Sheet1!F408,FIND("(",[1]Sheet1!F408)+1,FIND("-",[1]Sheet1!F408)-FIND("(",[1]Sheet1!F408)-1)</f>
        <v>广西</v>
      </c>
      <c r="E408" s="2" t="str">
        <f>MID([1]Sheet1!F408,FIND("-",[1]Sheet1!F408)+1,FIND(")",[1]Sheet1!F408)-FIND("-",[1]Sheet1!F408)-1)</f>
        <v>柳州</v>
      </c>
      <c r="F408" s="2" t="s">
        <v>42</v>
      </c>
      <c r="G408" s="2" t="s">
        <v>162</v>
      </c>
      <c r="H408" s="2" t="s">
        <v>66</v>
      </c>
      <c r="I408" s="2" t="s">
        <v>51</v>
      </c>
      <c r="J408" s="2" t="s">
        <v>82</v>
      </c>
      <c r="K408" s="2" t="s">
        <v>121</v>
      </c>
      <c r="L408" s="2" t="s">
        <v>83</v>
      </c>
      <c r="M408" s="2" t="s">
        <v>111</v>
      </c>
      <c r="N408" s="2" t="s">
        <v>85</v>
      </c>
      <c r="O408" s="2" t="s">
        <v>47</v>
      </c>
      <c r="P408" s="2" t="s">
        <v>28</v>
      </c>
      <c r="Q408" s="2" t="s">
        <v>48</v>
      </c>
    </row>
    <row r="409" spans="1:17">
      <c r="A409" s="2" t="s">
        <v>668</v>
      </c>
      <c r="B409" s="2" t="str">
        <f>[1]Sheet1!M409</f>
        <v>男</v>
      </c>
      <c r="C409" s="3" t="str" cm="1">
        <f t="array" ref="C4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09" s="2" t="str">
        <f>MID([1]Sheet1!F409,FIND("(",[1]Sheet1!F409)+1,FIND("-",[1]Sheet1!F409)-FIND("(",[1]Sheet1!F409)-1)</f>
        <v>广东</v>
      </c>
      <c r="E409" s="2" t="str">
        <f>MID([1]Sheet1!F409,FIND("-",[1]Sheet1!F409)+1,FIND(")",[1]Sheet1!F409)-FIND("-",[1]Sheet1!F409)-1)</f>
        <v>广州</v>
      </c>
      <c r="F409" s="2" t="s">
        <v>18</v>
      </c>
      <c r="G409" s="2" t="s">
        <v>81</v>
      </c>
      <c r="H409" s="2" t="s">
        <v>66</v>
      </c>
      <c r="I409" s="2" t="s">
        <v>43</v>
      </c>
      <c r="J409" s="2" t="s">
        <v>96</v>
      </c>
      <c r="K409" s="2" t="s">
        <v>115</v>
      </c>
      <c r="L409" s="2" t="s">
        <v>24</v>
      </c>
      <c r="M409" s="2" t="s">
        <v>36</v>
      </c>
      <c r="N409" s="2" t="s">
        <v>37</v>
      </c>
      <c r="O409" s="2" t="s">
        <v>47</v>
      </c>
      <c r="P409" s="2" t="s">
        <v>63</v>
      </c>
      <c r="Q409" s="2" t="s">
        <v>669</v>
      </c>
    </row>
    <row r="410" spans="1:17">
      <c r="A410" s="2" t="s">
        <v>670</v>
      </c>
      <c r="B410" s="2" t="str">
        <f>[1]Sheet1!M410</f>
        <v>女</v>
      </c>
      <c r="C410" s="3" t="str" cm="1">
        <f t="array" ref="C4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10" s="2" t="str">
        <f>MID([1]Sheet1!F410,FIND("(",[1]Sheet1!F410)+1,FIND("-",[1]Sheet1!F410)-FIND("(",[1]Sheet1!F410)-1)</f>
        <v>河北</v>
      </c>
      <c r="E410" s="2" t="str">
        <f>MID([1]Sheet1!F410,FIND("-",[1]Sheet1!F410)+1,FIND(")",[1]Sheet1!F410)-FIND("-",[1]Sheet1!F410)-1)</f>
        <v>唐山</v>
      </c>
      <c r="F410" s="2" t="s">
        <v>42</v>
      </c>
      <c r="G410" s="2" t="s">
        <v>50</v>
      </c>
      <c r="H410" s="2" t="s">
        <v>66</v>
      </c>
      <c r="I410" s="2" t="s">
        <v>21</v>
      </c>
      <c r="J410" s="2" t="s">
        <v>56</v>
      </c>
      <c r="K410" s="2" t="s">
        <v>117</v>
      </c>
      <c r="L410" s="2" t="s">
        <v>24</v>
      </c>
      <c r="M410" s="2" t="s">
        <v>36</v>
      </c>
      <c r="N410" s="2" t="s">
        <v>37</v>
      </c>
      <c r="O410" s="2" t="s">
        <v>27</v>
      </c>
      <c r="P410" s="2" t="s">
        <v>59</v>
      </c>
      <c r="Q410" s="2" t="s">
        <v>133</v>
      </c>
    </row>
    <row r="411" spans="1:17">
      <c r="A411" s="2" t="s">
        <v>671</v>
      </c>
      <c r="B411" s="2" t="str">
        <f>[1]Sheet1!M411</f>
        <v>男</v>
      </c>
      <c r="C411" s="3" t="str" cm="1">
        <f t="array" ref="C4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11" s="2" t="str">
        <f>MID([1]Sheet1!F411,FIND("(",[1]Sheet1!F411)+1,FIND("-",[1]Sheet1!F411)-FIND("(",[1]Sheet1!F411)-1)</f>
        <v>安徽</v>
      </c>
      <c r="E411" s="2" t="str">
        <f>MID([1]Sheet1!F411,FIND("-",[1]Sheet1!F411)+1,FIND(")",[1]Sheet1!F411)-FIND("-",[1]Sheet1!F411)-1)</f>
        <v>淮南</v>
      </c>
      <c r="F411" s="2" t="s">
        <v>31</v>
      </c>
      <c r="G411" s="2" t="s">
        <v>50</v>
      </c>
      <c r="H411" s="2" t="s">
        <v>66</v>
      </c>
      <c r="I411" s="2" t="s">
        <v>51</v>
      </c>
      <c r="J411" s="2" t="s">
        <v>22</v>
      </c>
      <c r="K411" s="2" t="s">
        <v>130</v>
      </c>
      <c r="L411" s="2" t="s">
        <v>24</v>
      </c>
      <c r="M411" s="2" t="s">
        <v>78</v>
      </c>
      <c r="N411" s="2" t="s">
        <v>37</v>
      </c>
      <c r="O411" s="2" t="s">
        <v>58</v>
      </c>
      <c r="P411" s="2" t="s">
        <v>86</v>
      </c>
      <c r="Q411" s="2" t="s">
        <v>118</v>
      </c>
    </row>
    <row r="412" spans="1:17">
      <c r="A412" s="2" t="s">
        <v>610</v>
      </c>
      <c r="B412" s="2" t="str">
        <f>[1]Sheet1!M412</f>
        <v>男</v>
      </c>
      <c r="C412" s="3" t="str" cm="1">
        <f t="array" ref="C4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12" s="2" t="str">
        <f>MID([1]Sheet1!F412,FIND("(",[1]Sheet1!F412)+1,FIND("-",[1]Sheet1!F412)-FIND("(",[1]Sheet1!F412)-1)</f>
        <v>浙江</v>
      </c>
      <c r="E412" s="2" t="str">
        <f>MID([1]Sheet1!F412,FIND("-",[1]Sheet1!F412)+1,FIND(")",[1]Sheet1!F412)-FIND("-",[1]Sheet1!F412)-1)</f>
        <v>杭州</v>
      </c>
      <c r="F412" s="2" t="s">
        <v>18</v>
      </c>
      <c r="G412" s="2" t="s">
        <v>81</v>
      </c>
      <c r="H412" s="2" t="s">
        <v>66</v>
      </c>
      <c r="I412" s="2" t="s">
        <v>21</v>
      </c>
      <c r="J412" s="2" t="s">
        <v>82</v>
      </c>
      <c r="K412" s="2" t="s">
        <v>130</v>
      </c>
      <c r="L412" s="2" t="s">
        <v>24</v>
      </c>
      <c r="M412" s="2" t="s">
        <v>25</v>
      </c>
      <c r="N412" s="2" t="s">
        <v>37</v>
      </c>
      <c r="O412" s="2" t="s">
        <v>97</v>
      </c>
      <c r="P412" s="2" t="s">
        <v>39</v>
      </c>
      <c r="Q412" s="2" t="s">
        <v>672</v>
      </c>
    </row>
    <row r="413" spans="1:17">
      <c r="A413" s="2" t="s">
        <v>664</v>
      </c>
      <c r="B413" s="2" t="str">
        <f>[1]Sheet1!M413</f>
        <v>男</v>
      </c>
      <c r="C413" s="3" t="str" cm="1">
        <f t="array" ref="C4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13" s="2" t="str">
        <f>MID([1]Sheet1!F413,FIND("(",[1]Sheet1!F413)+1,FIND("-",[1]Sheet1!F413)-FIND("(",[1]Sheet1!F413)-1)</f>
        <v>广东</v>
      </c>
      <c r="E413" s="2" t="str">
        <f>MID([1]Sheet1!F413,FIND("-",[1]Sheet1!F413)+1,FIND(")",[1]Sheet1!F413)-FIND("-",[1]Sheet1!F413)-1)</f>
        <v>东莞</v>
      </c>
      <c r="F413" s="2" t="s">
        <v>31</v>
      </c>
      <c r="G413" s="2" t="s">
        <v>19</v>
      </c>
      <c r="H413" s="2" t="s">
        <v>33</v>
      </c>
      <c r="I413" s="2" t="s">
        <v>43</v>
      </c>
      <c r="J413" s="2" t="s">
        <v>35</v>
      </c>
      <c r="K413" s="2" t="s">
        <v>115</v>
      </c>
      <c r="L413" s="2" t="s">
        <v>24</v>
      </c>
      <c r="M413" s="2" t="s">
        <v>25</v>
      </c>
      <c r="N413" s="2" t="s">
        <v>26</v>
      </c>
      <c r="O413" s="2" t="s">
        <v>27</v>
      </c>
      <c r="P413" s="2" t="s">
        <v>39</v>
      </c>
      <c r="Q413" s="2" t="s">
        <v>200</v>
      </c>
    </row>
    <row r="414" spans="1:17">
      <c r="A414" s="2" t="s">
        <v>673</v>
      </c>
      <c r="B414" s="2" t="str">
        <f>[1]Sheet1!M414</f>
        <v>男</v>
      </c>
      <c r="C414" s="3" t="str" cm="1">
        <f t="array" ref="C4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14" s="2" t="str">
        <f>MID([1]Sheet1!F414,FIND("(",[1]Sheet1!F414)+1,FIND("-",[1]Sheet1!F414)-FIND("(",[1]Sheet1!F414)-1)</f>
        <v>河南</v>
      </c>
      <c r="E414" s="2" t="str">
        <f>MID([1]Sheet1!F414,FIND("-",[1]Sheet1!F414)+1,FIND(")",[1]Sheet1!F414)-FIND("-",[1]Sheet1!F414)-1)</f>
        <v>郑州</v>
      </c>
      <c r="F414" s="2" t="s">
        <v>18</v>
      </c>
      <c r="G414" s="2" t="s">
        <v>19</v>
      </c>
      <c r="H414" s="2" t="s">
        <v>66</v>
      </c>
      <c r="I414" s="2" t="s">
        <v>21</v>
      </c>
      <c r="J414" s="2" t="s">
        <v>35</v>
      </c>
      <c r="K414" s="2" t="s">
        <v>121</v>
      </c>
      <c r="L414" s="2" t="s">
        <v>24</v>
      </c>
      <c r="M414" s="2" t="s">
        <v>25</v>
      </c>
      <c r="N414" s="2" t="s">
        <v>37</v>
      </c>
      <c r="O414" s="2" t="s">
        <v>89</v>
      </c>
      <c r="P414" s="2" t="s">
        <v>39</v>
      </c>
      <c r="Q414" s="2" t="s">
        <v>172</v>
      </c>
    </row>
    <row r="415" spans="1:17">
      <c r="A415" s="2" t="s">
        <v>666</v>
      </c>
      <c r="B415" s="2" t="str">
        <f>[1]Sheet1!M415</f>
        <v>男</v>
      </c>
      <c r="C415" s="3" t="str" cm="1">
        <f t="array" ref="C4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15" s="2" t="str">
        <f>MID([1]Sheet1!F415,FIND("(",[1]Sheet1!F415)+1,FIND("-",[1]Sheet1!F415)-FIND("(",[1]Sheet1!F415)-1)</f>
        <v>山东</v>
      </c>
      <c r="E415" s="2" t="str">
        <f>MID([1]Sheet1!F415,FIND("-",[1]Sheet1!F415)+1,FIND(")",[1]Sheet1!F415)-FIND("-",[1]Sheet1!F415)-1)</f>
        <v>潍坊</v>
      </c>
      <c r="F415" s="2" t="s">
        <v>42</v>
      </c>
      <c r="G415" s="2" t="s">
        <v>19</v>
      </c>
      <c r="H415" s="2" t="s">
        <v>33</v>
      </c>
      <c r="I415" s="2" t="s">
        <v>51</v>
      </c>
      <c r="J415" s="2" t="s">
        <v>22</v>
      </c>
      <c r="K415" s="2" t="s">
        <v>117</v>
      </c>
      <c r="L415" s="2" t="s">
        <v>24</v>
      </c>
      <c r="M415" s="2" t="s">
        <v>25</v>
      </c>
      <c r="N415" s="2" t="s">
        <v>37</v>
      </c>
      <c r="O415" s="2" t="s">
        <v>27</v>
      </c>
      <c r="P415" s="2" t="s">
        <v>63</v>
      </c>
      <c r="Q415" s="2" t="s">
        <v>68</v>
      </c>
    </row>
    <row r="416" spans="1:17">
      <c r="A416" s="2" t="s">
        <v>674</v>
      </c>
      <c r="B416" s="2" t="str">
        <f>[1]Sheet1!M416</f>
        <v>女</v>
      </c>
      <c r="C416" s="3" t="str" cm="1">
        <f t="array" ref="C4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16" s="2" t="str">
        <f>MID([1]Sheet1!F416,FIND("(",[1]Sheet1!F416)+1,FIND("-",[1]Sheet1!F416)-FIND("(",[1]Sheet1!F416)-1)</f>
        <v>河南</v>
      </c>
      <c r="E416" s="2" t="str">
        <f>MID([1]Sheet1!F416,FIND("-",[1]Sheet1!F416)+1,FIND(")",[1]Sheet1!F416)-FIND("-",[1]Sheet1!F416)-1)</f>
        <v>新乡</v>
      </c>
      <c r="F416" s="2" t="s">
        <v>88</v>
      </c>
      <c r="G416" s="2" t="s">
        <v>32</v>
      </c>
      <c r="H416" s="2" t="s">
        <v>20</v>
      </c>
      <c r="I416" s="2" t="s">
        <v>51</v>
      </c>
      <c r="J416" s="2" t="s">
        <v>82</v>
      </c>
      <c r="K416" s="2" t="s">
        <v>121</v>
      </c>
      <c r="L416" s="2" t="s">
        <v>24</v>
      </c>
      <c r="M416" s="2" t="s">
        <v>36</v>
      </c>
      <c r="N416" s="2" t="s">
        <v>37</v>
      </c>
      <c r="O416" s="2" t="s">
        <v>27</v>
      </c>
      <c r="P416" s="2" t="s">
        <v>179</v>
      </c>
      <c r="Q416" s="2" t="s">
        <v>29</v>
      </c>
    </row>
    <row r="417" spans="1:17">
      <c r="A417" s="2" t="s">
        <v>675</v>
      </c>
      <c r="B417" s="2" t="str">
        <f>[1]Sheet1!M417</f>
        <v>男</v>
      </c>
      <c r="C417" s="3" t="str" cm="1">
        <f t="array" ref="C4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17" s="2" t="str">
        <f>MID([1]Sheet1!F417,FIND("(",[1]Sheet1!F417)+1,FIND("-",[1]Sheet1!F417)-FIND("(",[1]Sheet1!F417)-1)</f>
        <v>河南</v>
      </c>
      <c r="E417" s="2" t="str">
        <f>MID([1]Sheet1!F417,FIND("-",[1]Sheet1!F417)+1,FIND(")",[1]Sheet1!F417)-FIND("-",[1]Sheet1!F417)-1)</f>
        <v>焦作</v>
      </c>
      <c r="F417" s="2" t="s">
        <v>31</v>
      </c>
      <c r="G417" s="2" t="s">
        <v>32</v>
      </c>
      <c r="H417" s="2" t="s">
        <v>33</v>
      </c>
      <c r="I417" s="2" t="s">
        <v>21</v>
      </c>
      <c r="J417" s="2" t="s">
        <v>22</v>
      </c>
      <c r="K417" s="2" t="s">
        <v>304</v>
      </c>
      <c r="L417" s="2" t="s">
        <v>24</v>
      </c>
      <c r="M417" s="2" t="s">
        <v>57</v>
      </c>
      <c r="N417" s="2" t="s">
        <v>37</v>
      </c>
      <c r="O417" s="2" t="s">
        <v>47</v>
      </c>
      <c r="P417" s="2" t="s">
        <v>86</v>
      </c>
      <c r="Q417" s="2" t="s">
        <v>75</v>
      </c>
    </row>
    <row r="418" spans="1:17">
      <c r="A418" s="2" t="s">
        <v>676</v>
      </c>
      <c r="B418" s="2" t="str">
        <f>[1]Sheet1!M418</f>
        <v>男</v>
      </c>
      <c r="C418" s="3" t="str" cm="1">
        <f t="array" ref="C4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18" s="2" t="str">
        <f>MID([1]Sheet1!F418,FIND("(",[1]Sheet1!F418)+1,FIND("-",[1]Sheet1!F418)-FIND("(",[1]Sheet1!F418)-1)</f>
        <v>湖北</v>
      </c>
      <c r="E418" s="2" t="str">
        <f>MID([1]Sheet1!F418,FIND("-",[1]Sheet1!F418)+1,FIND(")",[1]Sheet1!F418)-FIND("-",[1]Sheet1!F418)-1)</f>
        <v>黄石</v>
      </c>
      <c r="F418" s="2" t="s">
        <v>31</v>
      </c>
      <c r="G418" s="2" t="s">
        <v>50</v>
      </c>
      <c r="H418" s="2" t="s">
        <v>20</v>
      </c>
      <c r="I418" s="2" t="s">
        <v>51</v>
      </c>
      <c r="J418" s="2" t="s">
        <v>82</v>
      </c>
      <c r="K418" s="2" t="s">
        <v>115</v>
      </c>
      <c r="L418" s="2" t="s">
        <v>24</v>
      </c>
      <c r="M418" s="2" t="s">
        <v>78</v>
      </c>
      <c r="N418" s="2" t="s">
        <v>37</v>
      </c>
      <c r="O418" s="2" t="s">
        <v>106</v>
      </c>
      <c r="P418" s="2" t="s">
        <v>63</v>
      </c>
      <c r="Q418" s="2" t="s">
        <v>339</v>
      </c>
    </row>
    <row r="419" spans="1:17">
      <c r="A419" s="2" t="s">
        <v>677</v>
      </c>
      <c r="B419" s="2" t="str">
        <f>[1]Sheet1!M419</f>
        <v>女</v>
      </c>
      <c r="C419" s="3" t="str" cm="1">
        <f t="array" ref="C4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19" s="2" t="str">
        <f>MID([1]Sheet1!F419,FIND("(",[1]Sheet1!F419)+1,FIND("-",[1]Sheet1!F419)-FIND("(",[1]Sheet1!F419)-1)</f>
        <v>湖南</v>
      </c>
      <c r="E419" s="2" t="str">
        <f>MID([1]Sheet1!F419,FIND("-",[1]Sheet1!F419)+1,FIND(")",[1]Sheet1!F419)-FIND("-",[1]Sheet1!F419)-1)</f>
        <v>长沙</v>
      </c>
      <c r="F419" s="2" t="s">
        <v>18</v>
      </c>
      <c r="G419" s="2" t="s">
        <v>81</v>
      </c>
      <c r="H419" s="2" t="s">
        <v>66</v>
      </c>
      <c r="I419" s="2" t="s">
        <v>21</v>
      </c>
      <c r="J419" s="2" t="s">
        <v>56</v>
      </c>
      <c r="K419" s="2" t="s">
        <v>115</v>
      </c>
      <c r="L419" s="2" t="s">
        <v>24</v>
      </c>
      <c r="M419" s="2" t="s">
        <v>126</v>
      </c>
      <c r="N419" s="2" t="s">
        <v>46</v>
      </c>
      <c r="O419" s="2" t="s">
        <v>295</v>
      </c>
      <c r="P419" s="2" t="s">
        <v>678</v>
      </c>
      <c r="Q419" s="2" t="s">
        <v>328</v>
      </c>
    </row>
    <row r="420" spans="1:17">
      <c r="A420" s="2" t="s">
        <v>679</v>
      </c>
      <c r="B420" s="2" t="str">
        <f>[1]Sheet1!M420</f>
        <v>男</v>
      </c>
      <c r="C420" s="3" t="str" cm="1">
        <f t="array" ref="C4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20" s="2" t="str">
        <f>MID([1]Sheet1!F420,FIND("(",[1]Sheet1!F420)+1,FIND("-",[1]Sheet1!F420)-FIND("(",[1]Sheet1!F420)-1)</f>
        <v>重庆</v>
      </c>
      <c r="E420" s="2" t="str">
        <f>MID([1]Sheet1!F420,FIND("-",[1]Sheet1!F420)+1,FIND(")",[1]Sheet1!F420)-FIND("-",[1]Sheet1!F420)-1)</f>
        <v>重庆</v>
      </c>
      <c r="F420" s="2" t="s">
        <v>42</v>
      </c>
      <c r="G420" s="2" t="s">
        <v>32</v>
      </c>
      <c r="H420" s="2" t="s">
        <v>66</v>
      </c>
      <c r="I420" s="2" t="s">
        <v>34</v>
      </c>
      <c r="J420" s="2" t="s">
        <v>82</v>
      </c>
      <c r="K420" s="2" t="s">
        <v>130</v>
      </c>
      <c r="L420" s="2" t="s">
        <v>24</v>
      </c>
      <c r="M420" s="2" t="s">
        <v>126</v>
      </c>
      <c r="N420" s="2" t="s">
        <v>46</v>
      </c>
      <c r="O420" s="2" t="s">
        <v>58</v>
      </c>
      <c r="P420" s="2" t="s">
        <v>86</v>
      </c>
      <c r="Q420" s="2" t="s">
        <v>150</v>
      </c>
    </row>
    <row r="421" spans="1:17">
      <c r="A421" s="2" t="s">
        <v>680</v>
      </c>
      <c r="B421" s="2" t="str">
        <f>[1]Sheet1!M421</f>
        <v>男</v>
      </c>
      <c r="C421" s="3" t="str" cm="1">
        <f t="array" ref="C4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21" s="2" t="str">
        <f>MID([1]Sheet1!F421,FIND("(",[1]Sheet1!F421)+1,FIND("-",[1]Sheet1!F421)-FIND("(",[1]Sheet1!F421)-1)</f>
        <v>广西</v>
      </c>
      <c r="E421" s="2" t="str">
        <f>MID([1]Sheet1!F421,FIND("-",[1]Sheet1!F421)+1,FIND(")",[1]Sheet1!F421)-FIND("-",[1]Sheet1!F421)-1)</f>
        <v>柳州</v>
      </c>
      <c r="F421" s="2" t="s">
        <v>88</v>
      </c>
      <c r="G421" s="2" t="s">
        <v>50</v>
      </c>
      <c r="H421" s="2" t="s">
        <v>20</v>
      </c>
      <c r="I421" s="2" t="s">
        <v>21</v>
      </c>
      <c r="J421" s="2" t="s">
        <v>77</v>
      </c>
      <c r="K421" s="2" t="s">
        <v>117</v>
      </c>
      <c r="L421" s="2" t="s">
        <v>24</v>
      </c>
      <c r="M421" s="2" t="s">
        <v>681</v>
      </c>
      <c r="N421" s="2" t="s">
        <v>37</v>
      </c>
      <c r="O421" s="2" t="s">
        <v>256</v>
      </c>
      <c r="P421" s="2" t="s">
        <v>39</v>
      </c>
      <c r="Q421" s="2" t="s">
        <v>98</v>
      </c>
    </row>
    <row r="422" spans="1:17">
      <c r="A422" s="2" t="s">
        <v>682</v>
      </c>
      <c r="B422" s="2" t="str">
        <f>[1]Sheet1!M422</f>
        <v>男</v>
      </c>
      <c r="C422" s="3" t="str" cm="1">
        <f t="array" ref="C4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22" s="2" t="str">
        <f>MID([1]Sheet1!F422,FIND("(",[1]Sheet1!F422)+1,FIND("-",[1]Sheet1!F422)-FIND("(",[1]Sheet1!F422)-1)</f>
        <v>四川</v>
      </c>
      <c r="E422" s="2" t="str">
        <f>MID([1]Sheet1!F422,FIND("-",[1]Sheet1!F422)+1,FIND(")",[1]Sheet1!F422)-FIND("-",[1]Sheet1!F422)-1)</f>
        <v>南充</v>
      </c>
      <c r="F422" s="2" t="s">
        <v>31</v>
      </c>
      <c r="G422" s="2" t="s">
        <v>50</v>
      </c>
      <c r="H422" s="2" t="s">
        <v>20</v>
      </c>
      <c r="I422" s="2" t="s">
        <v>21</v>
      </c>
      <c r="J422" s="2" t="s">
        <v>82</v>
      </c>
      <c r="K422" s="2" t="s">
        <v>117</v>
      </c>
      <c r="L422" s="2" t="s">
        <v>24</v>
      </c>
      <c r="M422" s="2" t="s">
        <v>143</v>
      </c>
      <c r="N422" s="2" t="s">
        <v>26</v>
      </c>
      <c r="O422" s="2" t="s">
        <v>47</v>
      </c>
      <c r="P422" s="2" t="s">
        <v>179</v>
      </c>
      <c r="Q422" s="2" t="s">
        <v>68</v>
      </c>
    </row>
    <row r="423" spans="1:17">
      <c r="A423" s="2" t="s">
        <v>683</v>
      </c>
      <c r="B423" s="2" t="str">
        <f>[1]Sheet1!M423</f>
        <v>男</v>
      </c>
      <c r="C423" s="3" t="str" cm="1">
        <f t="array" ref="C4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23" s="2" t="str">
        <f>MID([1]Sheet1!F423,FIND("(",[1]Sheet1!F423)+1,FIND("-",[1]Sheet1!F423)-FIND("(",[1]Sheet1!F423)-1)</f>
        <v>河南</v>
      </c>
      <c r="E423" s="2" t="str">
        <f>MID([1]Sheet1!F423,FIND("-",[1]Sheet1!F423)+1,FIND(")",[1]Sheet1!F423)-FIND("-",[1]Sheet1!F423)-1)</f>
        <v>南阳</v>
      </c>
      <c r="F423" s="2" t="s">
        <v>31</v>
      </c>
      <c r="G423" s="2" t="s">
        <v>81</v>
      </c>
      <c r="H423" s="2" t="s">
        <v>66</v>
      </c>
      <c r="I423" s="2" t="s">
        <v>51</v>
      </c>
      <c r="J423" s="2" t="s">
        <v>56</v>
      </c>
      <c r="K423" s="2" t="s">
        <v>117</v>
      </c>
      <c r="L423" s="2" t="s">
        <v>24</v>
      </c>
      <c r="M423" s="2" t="s">
        <v>57</v>
      </c>
      <c r="N423" s="2" t="s">
        <v>85</v>
      </c>
      <c r="O423" s="2" t="s">
        <v>89</v>
      </c>
      <c r="P423" s="2" t="s">
        <v>39</v>
      </c>
      <c r="Q423" s="2" t="s">
        <v>150</v>
      </c>
    </row>
    <row r="424" spans="1:17">
      <c r="A424" s="2" t="s">
        <v>420</v>
      </c>
      <c r="B424" s="2" t="str">
        <f>[1]Sheet1!M424</f>
        <v>女</v>
      </c>
      <c r="C424" s="3" t="str" cm="1">
        <f t="array" ref="C4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24" s="2" t="str">
        <f>MID([1]Sheet1!F424,FIND("(",[1]Sheet1!F424)+1,FIND("-",[1]Sheet1!F424)-FIND("(",[1]Sheet1!F424)-1)</f>
        <v>江苏</v>
      </c>
      <c r="E424" s="2" t="str">
        <f>MID([1]Sheet1!F424,FIND("-",[1]Sheet1!F424)+1,FIND(")",[1]Sheet1!F424)-FIND("-",[1]Sheet1!F424)-1)</f>
        <v>泰州</v>
      </c>
      <c r="F424" s="2" t="s">
        <v>42</v>
      </c>
      <c r="G424" s="2" t="s">
        <v>32</v>
      </c>
      <c r="H424" s="2" t="s">
        <v>66</v>
      </c>
      <c r="I424" s="2" t="s">
        <v>43</v>
      </c>
      <c r="J424" s="2" t="s">
        <v>77</v>
      </c>
      <c r="K424" s="2" t="s">
        <v>117</v>
      </c>
      <c r="L424" s="2" t="s">
        <v>24</v>
      </c>
      <c r="M424" s="2" t="s">
        <v>25</v>
      </c>
      <c r="N424" s="2" t="s">
        <v>37</v>
      </c>
      <c r="O424" s="2" t="s">
        <v>47</v>
      </c>
      <c r="P424" s="2" t="s">
        <v>63</v>
      </c>
      <c r="Q424" s="2" t="s">
        <v>200</v>
      </c>
    </row>
    <row r="425" spans="1:17">
      <c r="A425" s="2" t="s">
        <v>684</v>
      </c>
      <c r="B425" s="2" t="str">
        <f>[1]Sheet1!M425</f>
        <v>男</v>
      </c>
      <c r="C425" s="3" t="str" cm="1">
        <f t="array" ref="C4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25" s="2" t="str">
        <f>MID([1]Sheet1!F425,FIND("(",[1]Sheet1!F425)+1,FIND("-",[1]Sheet1!F425)-FIND("(",[1]Sheet1!F425)-1)</f>
        <v>河南</v>
      </c>
      <c r="E425" s="2" t="str">
        <f>MID([1]Sheet1!F425,FIND("-",[1]Sheet1!F425)+1,FIND(")",[1]Sheet1!F425)-FIND("-",[1]Sheet1!F425)-1)</f>
        <v>洛阳</v>
      </c>
      <c r="F425" s="2" t="s">
        <v>31</v>
      </c>
      <c r="G425" s="2" t="s">
        <v>81</v>
      </c>
      <c r="H425" s="2" t="s">
        <v>33</v>
      </c>
      <c r="I425" s="2" t="s">
        <v>120</v>
      </c>
      <c r="J425" s="2" t="s">
        <v>44</v>
      </c>
      <c r="K425" s="2" t="s">
        <v>115</v>
      </c>
      <c r="L425" s="2" t="s">
        <v>24</v>
      </c>
      <c r="M425" s="2" t="s">
        <v>126</v>
      </c>
      <c r="N425" s="2" t="s">
        <v>37</v>
      </c>
      <c r="O425" s="2" t="s">
        <v>685</v>
      </c>
      <c r="P425" s="2" t="s">
        <v>63</v>
      </c>
      <c r="Q425" s="2" t="s">
        <v>68</v>
      </c>
    </row>
    <row r="426" spans="1:17">
      <c r="A426" s="2" t="s">
        <v>686</v>
      </c>
      <c r="B426" s="2" t="str">
        <f>[1]Sheet1!M426</f>
        <v>男</v>
      </c>
      <c r="C426" s="3" t="str" cm="1">
        <f t="array" ref="C4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26" s="2" t="str">
        <f>MID([1]Sheet1!F426,FIND("(",[1]Sheet1!F426)+1,FIND("-",[1]Sheet1!F426)-FIND("(",[1]Sheet1!F426)-1)</f>
        <v>河南</v>
      </c>
      <c r="E426" s="2" t="str">
        <f>MID([1]Sheet1!F426,FIND("-",[1]Sheet1!F426)+1,FIND(")",[1]Sheet1!F426)-FIND("-",[1]Sheet1!F426)-1)</f>
        <v>郑州</v>
      </c>
      <c r="F426" s="2" t="s">
        <v>88</v>
      </c>
      <c r="G426" s="2" t="s">
        <v>50</v>
      </c>
      <c r="H426" s="2" t="s">
        <v>66</v>
      </c>
      <c r="I426" s="2" t="s">
        <v>51</v>
      </c>
      <c r="J426" s="2" t="s">
        <v>56</v>
      </c>
      <c r="K426" s="2" t="s">
        <v>121</v>
      </c>
      <c r="L426" s="2" t="s">
        <v>24</v>
      </c>
      <c r="M426" s="2" t="s">
        <v>36</v>
      </c>
      <c r="N426" s="2" t="s">
        <v>85</v>
      </c>
      <c r="O426" s="2" t="s">
        <v>47</v>
      </c>
      <c r="P426" s="2" t="s">
        <v>63</v>
      </c>
      <c r="Q426" s="2" t="s">
        <v>687</v>
      </c>
    </row>
    <row r="427" spans="1:17">
      <c r="A427" s="2" t="s">
        <v>688</v>
      </c>
      <c r="B427" s="2" t="str">
        <f>[1]Sheet1!M427</f>
        <v>男</v>
      </c>
      <c r="C427" s="3" t="str" cm="1">
        <f t="array" ref="C4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27" s="2" t="str">
        <f>MID([1]Sheet1!F427,FIND("(",[1]Sheet1!F427)+1,FIND("-",[1]Sheet1!F427)-FIND("(",[1]Sheet1!F427)-1)</f>
        <v>四川</v>
      </c>
      <c r="E427" s="2" t="str">
        <f>MID([1]Sheet1!F427,FIND("-",[1]Sheet1!F427)+1,FIND(")",[1]Sheet1!F427)-FIND("-",[1]Sheet1!F427)-1)</f>
        <v>宜宾</v>
      </c>
      <c r="F427" s="2" t="s">
        <v>42</v>
      </c>
      <c r="G427" s="2" t="s">
        <v>81</v>
      </c>
      <c r="H427" s="2" t="s">
        <v>66</v>
      </c>
      <c r="I427" s="2" t="s">
        <v>51</v>
      </c>
      <c r="J427" s="2" t="s">
        <v>96</v>
      </c>
      <c r="K427" s="2" t="s">
        <v>117</v>
      </c>
      <c r="L427" s="2" t="s">
        <v>24</v>
      </c>
      <c r="M427" s="2" t="s">
        <v>92</v>
      </c>
      <c r="N427" s="2" t="s">
        <v>26</v>
      </c>
      <c r="O427" s="2" t="s">
        <v>47</v>
      </c>
      <c r="P427" s="2" t="s">
        <v>86</v>
      </c>
      <c r="Q427" s="2" t="s">
        <v>689</v>
      </c>
    </row>
    <row r="428" spans="1:17">
      <c r="A428" s="2" t="s">
        <v>690</v>
      </c>
      <c r="B428" s="2" t="str">
        <f>[1]Sheet1!M428</f>
        <v>女</v>
      </c>
      <c r="C428" s="3" t="str" cm="1">
        <f t="array" ref="C4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28" s="2" t="str">
        <f>MID([1]Sheet1!F428,FIND("(",[1]Sheet1!F428)+1,FIND("-",[1]Sheet1!F428)-FIND("(",[1]Sheet1!F428)-1)</f>
        <v>湖北</v>
      </c>
      <c r="E428" s="2" t="str">
        <f>MID([1]Sheet1!F428,FIND("-",[1]Sheet1!F428)+1,FIND(")",[1]Sheet1!F428)-FIND("-",[1]Sheet1!F428)-1)</f>
        <v>武汉</v>
      </c>
      <c r="F428" s="2" t="s">
        <v>18</v>
      </c>
      <c r="G428" s="2" t="s">
        <v>81</v>
      </c>
      <c r="H428" s="2" t="s">
        <v>20</v>
      </c>
      <c r="I428" s="2" t="s">
        <v>21</v>
      </c>
      <c r="J428" s="2" t="s">
        <v>44</v>
      </c>
      <c r="K428" s="2" t="s">
        <v>115</v>
      </c>
      <c r="L428" s="2" t="s">
        <v>24</v>
      </c>
      <c r="M428" s="2" t="s">
        <v>36</v>
      </c>
      <c r="N428" s="2" t="s">
        <v>37</v>
      </c>
      <c r="O428" s="2" t="s">
        <v>89</v>
      </c>
      <c r="P428" s="2" t="s">
        <v>28</v>
      </c>
      <c r="Q428" s="2" t="s">
        <v>144</v>
      </c>
    </row>
    <row r="429" spans="1:17">
      <c r="A429" s="2" t="s">
        <v>691</v>
      </c>
      <c r="B429" s="2" t="str">
        <f>[1]Sheet1!M429</f>
        <v>男</v>
      </c>
      <c r="C429" s="3" t="str" cm="1">
        <f t="array" ref="C4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29" s="2" t="str">
        <f>MID([1]Sheet1!F429,FIND("(",[1]Sheet1!F429)+1,FIND("-",[1]Sheet1!F429)-FIND("(",[1]Sheet1!F429)-1)</f>
        <v>重庆</v>
      </c>
      <c r="E429" s="2" t="str">
        <f>MID([1]Sheet1!F429,FIND("-",[1]Sheet1!F429)+1,FIND(")",[1]Sheet1!F429)-FIND("-",[1]Sheet1!F429)-1)</f>
        <v>重庆</v>
      </c>
      <c r="F429" s="2" t="s">
        <v>42</v>
      </c>
      <c r="G429" s="2" t="s">
        <v>50</v>
      </c>
      <c r="H429" s="2" t="s">
        <v>20</v>
      </c>
      <c r="I429" s="2" t="s">
        <v>21</v>
      </c>
      <c r="J429" s="2" t="s">
        <v>77</v>
      </c>
      <c r="K429" s="2" t="s">
        <v>117</v>
      </c>
      <c r="L429" s="2" t="s">
        <v>24</v>
      </c>
      <c r="M429" s="2" t="s">
        <v>36</v>
      </c>
      <c r="N429" s="2" t="s">
        <v>26</v>
      </c>
      <c r="O429" s="2" t="s">
        <v>47</v>
      </c>
      <c r="P429" s="2" t="s">
        <v>86</v>
      </c>
      <c r="Q429" s="2" t="s">
        <v>328</v>
      </c>
    </row>
    <row r="430" spans="1:17">
      <c r="A430" s="2" t="s">
        <v>692</v>
      </c>
      <c r="B430" s="2" t="str">
        <f>[1]Sheet1!M430</f>
        <v>男</v>
      </c>
      <c r="C430" s="3" t="str" cm="1">
        <f t="array" ref="C4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30" s="2" t="str">
        <f>MID([1]Sheet1!F430,FIND("(",[1]Sheet1!F430)+1,FIND("-",[1]Sheet1!F430)-FIND("(",[1]Sheet1!F430)-1)</f>
        <v>四川</v>
      </c>
      <c r="E430" s="2" t="str">
        <f>MID([1]Sheet1!F430,FIND("-",[1]Sheet1!F430)+1,FIND(")",[1]Sheet1!F430)-FIND("-",[1]Sheet1!F430)-1)</f>
        <v>成都</v>
      </c>
      <c r="F430" s="2" t="s">
        <v>18</v>
      </c>
      <c r="G430" s="2" t="s">
        <v>81</v>
      </c>
      <c r="H430" s="2" t="s">
        <v>66</v>
      </c>
      <c r="I430" s="2" t="s">
        <v>21</v>
      </c>
      <c r="J430" s="2" t="s">
        <v>82</v>
      </c>
      <c r="K430" s="2" t="s">
        <v>115</v>
      </c>
      <c r="L430" s="2" t="s">
        <v>83</v>
      </c>
      <c r="M430" s="2" t="s">
        <v>143</v>
      </c>
      <c r="N430" s="2" t="s">
        <v>26</v>
      </c>
      <c r="O430" s="2" t="s">
        <v>89</v>
      </c>
      <c r="P430" s="2" t="s">
        <v>86</v>
      </c>
      <c r="Q430" s="2" t="s">
        <v>693</v>
      </c>
    </row>
    <row r="431" spans="1:17">
      <c r="A431" s="2" t="s">
        <v>694</v>
      </c>
      <c r="B431" s="2" t="str">
        <f>[1]Sheet1!M431</f>
        <v>男</v>
      </c>
      <c r="C431" s="3" t="str" cm="1">
        <f t="array" ref="C4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31" s="2" t="str">
        <f>MID([1]Sheet1!F431,FIND("(",[1]Sheet1!F431)+1,FIND("-",[1]Sheet1!F431)-FIND("(",[1]Sheet1!F431)-1)</f>
        <v>四川</v>
      </c>
      <c r="E431" s="2" t="str">
        <f>MID([1]Sheet1!F431,FIND("-",[1]Sheet1!F431)+1,FIND(")",[1]Sheet1!F431)-FIND("-",[1]Sheet1!F431)-1)</f>
        <v>成都</v>
      </c>
      <c r="F431" s="2" t="s">
        <v>31</v>
      </c>
      <c r="G431" s="2" t="s">
        <v>50</v>
      </c>
      <c r="H431" s="2" t="s">
        <v>66</v>
      </c>
      <c r="I431" s="2" t="s">
        <v>51</v>
      </c>
      <c r="J431" s="2" t="s">
        <v>96</v>
      </c>
      <c r="K431" s="2" t="s">
        <v>115</v>
      </c>
      <c r="L431" s="2" t="s">
        <v>24</v>
      </c>
      <c r="M431" s="2" t="s">
        <v>25</v>
      </c>
      <c r="N431" s="2" t="s">
        <v>37</v>
      </c>
      <c r="O431" s="2" t="s">
        <v>47</v>
      </c>
      <c r="P431" s="2" t="s">
        <v>63</v>
      </c>
      <c r="Q431" s="2" t="s">
        <v>133</v>
      </c>
    </row>
    <row r="432" spans="1:17">
      <c r="A432" s="2" t="s">
        <v>695</v>
      </c>
      <c r="B432" s="2" t="str">
        <f>[1]Sheet1!M432</f>
        <v>男</v>
      </c>
      <c r="C432" s="3" t="str" cm="1">
        <f t="array" ref="C4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32" s="2" t="str">
        <f>MID([1]Sheet1!F432,FIND("(",[1]Sheet1!F432)+1,FIND("-",[1]Sheet1!F432)-FIND("(",[1]Sheet1!F432)-1)</f>
        <v>四川</v>
      </c>
      <c r="E432" s="2" t="str">
        <f>MID([1]Sheet1!F432,FIND("-",[1]Sheet1!F432)+1,FIND(")",[1]Sheet1!F432)-FIND("-",[1]Sheet1!F432)-1)</f>
        <v>成都</v>
      </c>
      <c r="F432" s="2" t="s">
        <v>70</v>
      </c>
      <c r="G432" s="2" t="s">
        <v>19</v>
      </c>
      <c r="H432" s="2" t="s">
        <v>20</v>
      </c>
      <c r="I432" s="2" t="s">
        <v>21</v>
      </c>
      <c r="J432" s="2" t="s">
        <v>77</v>
      </c>
      <c r="K432" s="2" t="s">
        <v>117</v>
      </c>
      <c r="L432" s="2" t="s">
        <v>24</v>
      </c>
      <c r="M432" s="2" t="s">
        <v>78</v>
      </c>
      <c r="N432" s="2" t="s">
        <v>37</v>
      </c>
      <c r="O432" s="2" t="s">
        <v>47</v>
      </c>
      <c r="P432" s="2" t="s">
        <v>39</v>
      </c>
      <c r="Q432" s="2" t="s">
        <v>696</v>
      </c>
    </row>
    <row r="433" spans="1:17">
      <c r="A433" s="2" t="s">
        <v>697</v>
      </c>
      <c r="B433" s="2" t="str">
        <f>[1]Sheet1!M433</f>
        <v>男</v>
      </c>
      <c r="C433" s="3" t="str" cm="1">
        <f t="array" ref="C4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33" s="2" t="str">
        <f>MID([1]Sheet1!F433,FIND("(",[1]Sheet1!F433)+1,FIND("-",[1]Sheet1!F433)-FIND("(",[1]Sheet1!F433)-1)</f>
        <v>四川</v>
      </c>
      <c r="E433" s="2" t="str">
        <f>MID([1]Sheet1!F433,FIND("-",[1]Sheet1!F433)+1,FIND(")",[1]Sheet1!F433)-FIND("-",[1]Sheet1!F433)-1)</f>
        <v>绵阳</v>
      </c>
      <c r="F433" s="2" t="s">
        <v>42</v>
      </c>
      <c r="G433" s="2" t="s">
        <v>19</v>
      </c>
      <c r="H433" s="2" t="s">
        <v>66</v>
      </c>
      <c r="I433" s="2" t="s">
        <v>21</v>
      </c>
      <c r="J433" s="2" t="s">
        <v>56</v>
      </c>
      <c r="K433" s="2" t="s">
        <v>115</v>
      </c>
      <c r="L433" s="2" t="s">
        <v>83</v>
      </c>
      <c r="M433" s="2" t="s">
        <v>36</v>
      </c>
      <c r="N433" s="2" t="s">
        <v>37</v>
      </c>
      <c r="O433" s="2" t="s">
        <v>47</v>
      </c>
      <c r="P433" s="2" t="s">
        <v>39</v>
      </c>
      <c r="Q433" s="2" t="s">
        <v>68</v>
      </c>
    </row>
    <row r="434" spans="1:17">
      <c r="A434" s="2" t="s">
        <v>698</v>
      </c>
      <c r="B434" s="2" t="str">
        <f>[1]Sheet1!M434</f>
        <v>男</v>
      </c>
      <c r="C434" s="3" t="str" cm="1">
        <f t="array" ref="C4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34" s="2" t="str">
        <f>MID([1]Sheet1!F434,FIND("(",[1]Sheet1!F434)+1,FIND("-",[1]Sheet1!F434)-FIND("(",[1]Sheet1!F434)-1)</f>
        <v>山西</v>
      </c>
      <c r="E434" s="2" t="str">
        <f>MID([1]Sheet1!F434,FIND("-",[1]Sheet1!F434)+1,FIND(")",[1]Sheet1!F434)-FIND("-",[1]Sheet1!F434)-1)</f>
        <v>运城</v>
      </c>
      <c r="F434" s="2" t="s">
        <v>31</v>
      </c>
      <c r="G434" s="2" t="s">
        <v>50</v>
      </c>
      <c r="H434" s="2" t="s">
        <v>33</v>
      </c>
      <c r="I434" s="2" t="s">
        <v>120</v>
      </c>
      <c r="J434" s="2" t="s">
        <v>96</v>
      </c>
      <c r="K434" s="2" t="s">
        <v>117</v>
      </c>
      <c r="L434" s="2" t="s">
        <v>24</v>
      </c>
      <c r="M434" s="2" t="s">
        <v>100</v>
      </c>
      <c r="N434" s="2" t="s">
        <v>37</v>
      </c>
      <c r="O434" s="2" t="s">
        <v>47</v>
      </c>
      <c r="P434" s="2" t="s">
        <v>175</v>
      </c>
      <c r="Q434" s="2" t="s">
        <v>339</v>
      </c>
    </row>
    <row r="435" spans="1:17">
      <c r="A435" s="2" t="s">
        <v>699</v>
      </c>
      <c r="B435" s="2" t="str">
        <f>[1]Sheet1!M435</f>
        <v>男</v>
      </c>
      <c r="C435" s="3" t="str" cm="1">
        <f t="array" ref="C4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35" s="2" t="str">
        <f>MID([1]Sheet1!F435,FIND("(",[1]Sheet1!F435)+1,FIND("-",[1]Sheet1!F435)-FIND("(",[1]Sheet1!F435)-1)</f>
        <v>山西</v>
      </c>
      <c r="E435" s="2" t="str">
        <f>MID([1]Sheet1!F435,FIND("-",[1]Sheet1!F435)+1,FIND(")",[1]Sheet1!F435)-FIND("-",[1]Sheet1!F435)-1)</f>
        <v>运城</v>
      </c>
      <c r="F435" s="2" t="s">
        <v>88</v>
      </c>
      <c r="G435" s="2" t="s">
        <v>81</v>
      </c>
      <c r="H435" s="2" t="s">
        <v>33</v>
      </c>
      <c r="I435" s="2" t="s">
        <v>34</v>
      </c>
      <c r="J435" s="2" t="s">
        <v>44</v>
      </c>
      <c r="K435" s="2" t="s">
        <v>121</v>
      </c>
      <c r="L435" s="2" t="s">
        <v>24</v>
      </c>
      <c r="M435" s="2" t="s">
        <v>36</v>
      </c>
      <c r="N435" s="2" t="s">
        <v>46</v>
      </c>
      <c r="O435" s="2" t="s">
        <v>199</v>
      </c>
      <c r="P435" s="2" t="s">
        <v>63</v>
      </c>
      <c r="Q435" s="2" t="s">
        <v>214</v>
      </c>
    </row>
    <row r="436" spans="1:17">
      <c r="A436" s="2" t="s">
        <v>700</v>
      </c>
      <c r="B436" s="2" t="str">
        <f>[1]Sheet1!M436</f>
        <v>女</v>
      </c>
      <c r="C436" s="3" t="str" cm="1">
        <f t="array" ref="C4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36" s="2" t="str">
        <f>MID([1]Sheet1!F436,FIND("(",[1]Sheet1!F436)+1,FIND("-",[1]Sheet1!F436)-FIND("(",[1]Sheet1!F436)-1)</f>
        <v>河北</v>
      </c>
      <c r="E436" s="2" t="str">
        <f>MID([1]Sheet1!F436,FIND("-",[1]Sheet1!F436)+1,FIND(")",[1]Sheet1!F436)-FIND("-",[1]Sheet1!F436)-1)</f>
        <v>保定</v>
      </c>
      <c r="F436" s="2" t="s">
        <v>88</v>
      </c>
      <c r="G436" s="2" t="s">
        <v>162</v>
      </c>
      <c r="H436" s="2" t="s">
        <v>33</v>
      </c>
      <c r="I436" s="2" t="s">
        <v>21</v>
      </c>
      <c r="J436" s="2" t="s">
        <v>77</v>
      </c>
      <c r="K436" s="2" t="s">
        <v>121</v>
      </c>
      <c r="L436" s="2" t="s">
        <v>83</v>
      </c>
      <c r="M436" s="2" t="s">
        <v>36</v>
      </c>
      <c r="N436" s="2" t="s">
        <v>85</v>
      </c>
      <c r="O436" s="2" t="s">
        <v>79</v>
      </c>
      <c r="P436" s="2" t="s">
        <v>28</v>
      </c>
      <c r="Q436" s="2" t="s">
        <v>40</v>
      </c>
    </row>
    <row r="437" spans="1:17">
      <c r="A437" s="2" t="s">
        <v>701</v>
      </c>
      <c r="B437" s="2" t="str">
        <f>[1]Sheet1!M437</f>
        <v>男</v>
      </c>
      <c r="C437" s="3" t="str" cm="1">
        <f t="array" ref="C4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37" s="2" t="str">
        <f>MID([1]Sheet1!F437,FIND("(",[1]Sheet1!F437)+1,FIND("-",[1]Sheet1!F437)-FIND("(",[1]Sheet1!F437)-1)</f>
        <v>广西</v>
      </c>
      <c r="E437" s="2" t="str">
        <f>MID([1]Sheet1!F437,FIND("-",[1]Sheet1!F437)+1,FIND(")",[1]Sheet1!F437)-FIND("-",[1]Sheet1!F437)-1)</f>
        <v>崇左</v>
      </c>
      <c r="F437" s="2" t="s">
        <v>42</v>
      </c>
      <c r="G437" s="2" t="s">
        <v>50</v>
      </c>
      <c r="H437" s="2" t="s">
        <v>66</v>
      </c>
      <c r="I437" s="2" t="s">
        <v>120</v>
      </c>
      <c r="J437" s="2" t="s">
        <v>56</v>
      </c>
      <c r="K437" s="2" t="s">
        <v>240</v>
      </c>
      <c r="L437" s="2" t="s">
        <v>24</v>
      </c>
      <c r="M437" s="2" t="s">
        <v>36</v>
      </c>
      <c r="N437" s="2" t="s">
        <v>26</v>
      </c>
      <c r="O437" s="2" t="s">
        <v>62</v>
      </c>
      <c r="P437" s="2" t="s">
        <v>39</v>
      </c>
      <c r="Q437" s="2" t="s">
        <v>29</v>
      </c>
    </row>
    <row r="438" spans="1:17">
      <c r="A438" s="2" t="s">
        <v>702</v>
      </c>
      <c r="B438" s="2" t="str">
        <f>[1]Sheet1!M438</f>
        <v>男</v>
      </c>
      <c r="C438" s="3" t="str" cm="1">
        <f t="array" ref="C4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38" s="2" t="str">
        <f>MID([1]Sheet1!F438,FIND("(",[1]Sheet1!F438)+1,FIND("-",[1]Sheet1!F438)-FIND("(",[1]Sheet1!F438)-1)</f>
        <v>山西</v>
      </c>
      <c r="E438" s="2" t="str">
        <f>MID([1]Sheet1!F438,FIND("-",[1]Sheet1!F438)+1,FIND(")",[1]Sheet1!F438)-FIND("-",[1]Sheet1!F438)-1)</f>
        <v>运城</v>
      </c>
      <c r="F438" s="2" t="s">
        <v>18</v>
      </c>
      <c r="G438" s="2" t="s">
        <v>50</v>
      </c>
      <c r="H438" s="2" t="s">
        <v>66</v>
      </c>
      <c r="I438" s="2" t="s">
        <v>34</v>
      </c>
      <c r="J438" s="2" t="s">
        <v>56</v>
      </c>
      <c r="K438" s="2" t="s">
        <v>117</v>
      </c>
      <c r="L438" s="2" t="s">
        <v>24</v>
      </c>
      <c r="M438" s="2" t="s">
        <v>67</v>
      </c>
      <c r="N438" s="2" t="s">
        <v>37</v>
      </c>
      <c r="O438" s="2" t="s">
        <v>27</v>
      </c>
      <c r="P438" s="2" t="s">
        <v>39</v>
      </c>
      <c r="Q438" s="2" t="s">
        <v>144</v>
      </c>
    </row>
    <row r="439" spans="1:17">
      <c r="A439" s="2" t="s">
        <v>703</v>
      </c>
      <c r="B439" s="2" t="str">
        <f>[1]Sheet1!M439</f>
        <v>男</v>
      </c>
      <c r="C439" s="3" t="str" cm="1">
        <f t="array" ref="C4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39" s="2" t="str">
        <f>MID([1]Sheet1!F439,FIND("(",[1]Sheet1!F439)+1,FIND("-",[1]Sheet1!F439)-FIND("(",[1]Sheet1!F439)-1)</f>
        <v>北京</v>
      </c>
      <c r="E439" s="2" t="str">
        <f>MID([1]Sheet1!F439,FIND("-",[1]Sheet1!F439)+1,FIND(")",[1]Sheet1!F439)-FIND("-",[1]Sheet1!F439)-1)</f>
        <v>北京</v>
      </c>
      <c r="F439" s="2" t="s">
        <v>31</v>
      </c>
      <c r="G439" s="2" t="s">
        <v>19</v>
      </c>
      <c r="H439" s="2" t="s">
        <v>33</v>
      </c>
      <c r="I439" s="2" t="s">
        <v>21</v>
      </c>
      <c r="J439" s="2" t="s">
        <v>82</v>
      </c>
      <c r="K439" s="2" t="s">
        <v>117</v>
      </c>
      <c r="L439" s="2" t="s">
        <v>24</v>
      </c>
      <c r="M439" s="2" t="s">
        <v>25</v>
      </c>
      <c r="N439" s="2" t="s">
        <v>37</v>
      </c>
      <c r="O439" s="2" t="s">
        <v>47</v>
      </c>
      <c r="P439" s="2" t="s">
        <v>28</v>
      </c>
      <c r="Q439" s="2" t="s">
        <v>60</v>
      </c>
    </row>
    <row r="440" spans="1:17">
      <c r="A440" s="2" t="s">
        <v>704</v>
      </c>
      <c r="B440" s="2" t="str">
        <f>[1]Sheet1!M440</f>
        <v>男</v>
      </c>
      <c r="C440" s="3" t="str" cm="1">
        <f t="array" ref="C4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40" s="2" t="str">
        <f>MID([1]Sheet1!F440,FIND("(",[1]Sheet1!F440)+1,FIND("-",[1]Sheet1!F440)-FIND("(",[1]Sheet1!F440)-1)</f>
        <v>浙江</v>
      </c>
      <c r="E440" s="2" t="str">
        <f>MID([1]Sheet1!F440,FIND("-",[1]Sheet1!F440)+1,FIND(")",[1]Sheet1!F440)-FIND("-",[1]Sheet1!F440)-1)</f>
        <v>金华</v>
      </c>
      <c r="F440" s="2" t="s">
        <v>42</v>
      </c>
      <c r="G440" s="2" t="s">
        <v>81</v>
      </c>
      <c r="H440" s="2" t="s">
        <v>33</v>
      </c>
      <c r="I440" s="2" t="s">
        <v>120</v>
      </c>
      <c r="J440" s="2" t="s">
        <v>44</v>
      </c>
      <c r="K440" s="2" t="s">
        <v>223</v>
      </c>
      <c r="L440" s="2" t="s">
        <v>24</v>
      </c>
      <c r="M440" s="2" t="s">
        <v>36</v>
      </c>
      <c r="N440" s="2" t="s">
        <v>46</v>
      </c>
      <c r="O440" s="2" t="s">
        <v>47</v>
      </c>
      <c r="P440" s="2" t="s">
        <v>63</v>
      </c>
      <c r="Q440" s="2" t="s">
        <v>259</v>
      </c>
    </row>
    <row r="441" spans="1:17">
      <c r="A441" s="2" t="s">
        <v>705</v>
      </c>
      <c r="B441" s="2" t="str">
        <f>[1]Sheet1!M441</f>
        <v>女</v>
      </c>
      <c r="C441" s="3" t="str" cm="1">
        <f t="array" ref="C4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41" s="2" t="str">
        <f>MID([1]Sheet1!F441,FIND("(",[1]Sheet1!F441)+1,FIND("-",[1]Sheet1!F441)-FIND("(",[1]Sheet1!F441)-1)</f>
        <v>广西</v>
      </c>
      <c r="E441" s="2" t="str">
        <f>MID([1]Sheet1!F441,FIND("-",[1]Sheet1!F441)+1,FIND(")",[1]Sheet1!F441)-FIND("-",[1]Sheet1!F441)-1)</f>
        <v>南宁</v>
      </c>
      <c r="F441" s="2" t="s">
        <v>42</v>
      </c>
      <c r="G441" s="2" t="s">
        <v>81</v>
      </c>
      <c r="H441" s="2" t="s">
        <v>20</v>
      </c>
      <c r="I441" s="2" t="s">
        <v>21</v>
      </c>
      <c r="J441" s="2" t="s">
        <v>56</v>
      </c>
      <c r="K441" s="2" t="s">
        <v>117</v>
      </c>
      <c r="L441" s="2" t="s">
        <v>24</v>
      </c>
      <c r="M441" s="2" t="s">
        <v>126</v>
      </c>
      <c r="N441" s="2" t="s">
        <v>105</v>
      </c>
      <c r="O441" s="2" t="s">
        <v>202</v>
      </c>
      <c r="P441" s="2" t="s">
        <v>39</v>
      </c>
      <c r="Q441" s="2" t="s">
        <v>48</v>
      </c>
    </row>
    <row r="442" spans="1:17">
      <c r="A442" s="2" t="s">
        <v>699</v>
      </c>
      <c r="B442" s="2" t="str">
        <f>[1]Sheet1!M442</f>
        <v>男</v>
      </c>
      <c r="C442" s="3" t="str" cm="1">
        <f t="array" ref="C4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42" s="2" t="str">
        <f>MID([1]Sheet1!F442,FIND("(",[1]Sheet1!F442)+1,FIND("-",[1]Sheet1!F442)-FIND("(",[1]Sheet1!F442)-1)</f>
        <v>山西</v>
      </c>
      <c r="E442" s="2" t="str">
        <f>MID([1]Sheet1!F442,FIND("-",[1]Sheet1!F442)+1,FIND(")",[1]Sheet1!F442)-FIND("-",[1]Sheet1!F442)-1)</f>
        <v>运城</v>
      </c>
      <c r="F442" s="2" t="s">
        <v>88</v>
      </c>
      <c r="G442" s="2" t="s">
        <v>81</v>
      </c>
      <c r="H442" s="2" t="s">
        <v>33</v>
      </c>
      <c r="I442" s="2" t="s">
        <v>34</v>
      </c>
      <c r="J442" s="2" t="s">
        <v>44</v>
      </c>
      <c r="K442" s="2" t="s">
        <v>121</v>
      </c>
      <c r="L442" s="2" t="s">
        <v>24</v>
      </c>
      <c r="M442" s="2" t="s">
        <v>36</v>
      </c>
      <c r="N442" s="2" t="s">
        <v>46</v>
      </c>
      <c r="O442" s="2" t="s">
        <v>47</v>
      </c>
      <c r="P442" s="2" t="s">
        <v>63</v>
      </c>
      <c r="Q442" s="2" t="s">
        <v>214</v>
      </c>
    </row>
    <row r="443" spans="1:17">
      <c r="A443" s="2" t="s">
        <v>706</v>
      </c>
      <c r="B443" s="2" t="str">
        <f>[1]Sheet1!M443</f>
        <v>男</v>
      </c>
      <c r="C443" s="3" t="str" cm="1">
        <f t="array" ref="C4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43" s="2" t="str">
        <f>MID([1]Sheet1!F443,FIND("(",[1]Sheet1!F443)+1,FIND("-",[1]Sheet1!F443)-FIND("(",[1]Sheet1!F443)-1)</f>
        <v>重庆</v>
      </c>
      <c r="E443" s="2" t="str">
        <f>MID([1]Sheet1!F443,FIND("-",[1]Sheet1!F443)+1,FIND(")",[1]Sheet1!F443)-FIND("-",[1]Sheet1!F443)-1)</f>
        <v>重庆</v>
      </c>
      <c r="F443" s="2" t="s">
        <v>159</v>
      </c>
      <c r="G443" s="2" t="s">
        <v>32</v>
      </c>
      <c r="H443" s="2" t="s">
        <v>66</v>
      </c>
      <c r="I443" s="2" t="s">
        <v>34</v>
      </c>
      <c r="J443" s="2" t="s">
        <v>82</v>
      </c>
      <c r="K443" s="2" t="s">
        <v>130</v>
      </c>
      <c r="L443" s="2" t="s">
        <v>24</v>
      </c>
      <c r="M443" s="2" t="s">
        <v>25</v>
      </c>
      <c r="N443" s="2" t="s">
        <v>37</v>
      </c>
      <c r="O443" s="2" t="s">
        <v>74</v>
      </c>
      <c r="P443" s="2" t="s">
        <v>86</v>
      </c>
      <c r="Q443" s="2" t="s">
        <v>707</v>
      </c>
    </row>
    <row r="444" spans="1:17">
      <c r="A444" s="2" t="s">
        <v>708</v>
      </c>
      <c r="B444" s="2" t="str">
        <f>[1]Sheet1!M444</f>
        <v>男</v>
      </c>
      <c r="C444" s="3" t="str" cm="1">
        <f t="array" ref="C4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44" s="2" t="str">
        <f>MID([1]Sheet1!F444,FIND("(",[1]Sheet1!F444)+1,FIND("-",[1]Sheet1!F444)-FIND("(",[1]Sheet1!F444)-1)</f>
        <v>湖北</v>
      </c>
      <c r="E444" s="2" t="str">
        <f>MID([1]Sheet1!F444,FIND("-",[1]Sheet1!F444)+1,FIND(")",[1]Sheet1!F444)-FIND("-",[1]Sheet1!F444)-1)</f>
        <v>恩施</v>
      </c>
      <c r="F444" s="2" t="s">
        <v>31</v>
      </c>
      <c r="G444" s="2" t="s">
        <v>81</v>
      </c>
      <c r="H444" s="2" t="s">
        <v>66</v>
      </c>
      <c r="I444" s="2" t="s">
        <v>43</v>
      </c>
      <c r="J444" s="2" t="s">
        <v>82</v>
      </c>
      <c r="K444" s="2" t="s">
        <v>115</v>
      </c>
      <c r="L444" s="2" t="s">
        <v>24</v>
      </c>
      <c r="M444" s="2" t="s">
        <v>36</v>
      </c>
      <c r="N444" s="2" t="s">
        <v>37</v>
      </c>
      <c r="O444" s="2" t="s">
        <v>47</v>
      </c>
      <c r="P444" s="2" t="s">
        <v>86</v>
      </c>
      <c r="Q444" s="2" t="s">
        <v>356</v>
      </c>
    </row>
    <row r="445" spans="1:17">
      <c r="A445" s="2" t="s">
        <v>709</v>
      </c>
      <c r="B445" s="2" t="str">
        <f>[1]Sheet1!M445</f>
        <v>男</v>
      </c>
      <c r="C445" s="3" t="str" cm="1">
        <f t="array" ref="C4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45" s="2" t="str">
        <f>MID([1]Sheet1!F445,FIND("(",[1]Sheet1!F445)+1,FIND("-",[1]Sheet1!F445)-FIND("(",[1]Sheet1!F445)-1)</f>
        <v>重庆</v>
      </c>
      <c r="E445" s="2" t="str">
        <f>MID([1]Sheet1!F445,FIND("-",[1]Sheet1!F445)+1,FIND(")",[1]Sheet1!F445)-FIND("-",[1]Sheet1!F445)-1)</f>
        <v>重庆</v>
      </c>
      <c r="F445" s="2" t="s">
        <v>18</v>
      </c>
      <c r="G445" s="2" t="s">
        <v>32</v>
      </c>
      <c r="H445" s="2" t="s">
        <v>20</v>
      </c>
      <c r="I445" s="2" t="s">
        <v>43</v>
      </c>
      <c r="J445" s="2" t="s">
        <v>82</v>
      </c>
      <c r="K445" s="2" t="s">
        <v>169</v>
      </c>
      <c r="L445" s="2" t="s">
        <v>24</v>
      </c>
      <c r="M445" s="2" t="s">
        <v>78</v>
      </c>
      <c r="N445" s="2" t="s">
        <v>37</v>
      </c>
      <c r="O445" s="2" t="s">
        <v>398</v>
      </c>
      <c r="P445" s="2" t="s">
        <v>39</v>
      </c>
      <c r="Q445" s="2" t="s">
        <v>40</v>
      </c>
    </row>
    <row r="446" spans="1:17">
      <c r="A446" s="2" t="s">
        <v>710</v>
      </c>
      <c r="B446" s="2" t="str">
        <f>[1]Sheet1!M446</f>
        <v>男</v>
      </c>
      <c r="C446" s="3" t="str" cm="1">
        <f t="array" ref="C4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46" s="2" t="str">
        <f>MID([1]Sheet1!F446,FIND("(",[1]Sheet1!F446)+1,FIND("-",[1]Sheet1!F446)-FIND("(",[1]Sheet1!F446)-1)</f>
        <v>天津</v>
      </c>
      <c r="E446" s="2" t="str">
        <f>MID([1]Sheet1!F446,FIND("-",[1]Sheet1!F446)+1,FIND(")",[1]Sheet1!F446)-FIND("-",[1]Sheet1!F446)-1)</f>
        <v>天津</v>
      </c>
      <c r="F446" s="2" t="s">
        <v>42</v>
      </c>
      <c r="G446" s="2" t="s">
        <v>32</v>
      </c>
      <c r="H446" s="2" t="s">
        <v>20</v>
      </c>
      <c r="I446" s="2" t="s">
        <v>51</v>
      </c>
      <c r="J446" s="2" t="s">
        <v>82</v>
      </c>
      <c r="K446" s="2" t="s">
        <v>117</v>
      </c>
      <c r="L446" s="2" t="s">
        <v>24</v>
      </c>
      <c r="M446" s="2" t="s">
        <v>78</v>
      </c>
      <c r="N446" s="2" t="s">
        <v>37</v>
      </c>
      <c r="O446" s="2" t="s">
        <v>58</v>
      </c>
      <c r="P446" s="2" t="s">
        <v>39</v>
      </c>
      <c r="Q446" s="2" t="s">
        <v>321</v>
      </c>
    </row>
    <row r="447" spans="1:17">
      <c r="A447" s="2" t="s">
        <v>711</v>
      </c>
      <c r="B447" s="2" t="str">
        <f>[1]Sheet1!M447</f>
        <v>女</v>
      </c>
      <c r="C447" s="3" t="str" cm="1">
        <f t="array" ref="C4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47" s="2" t="str">
        <f>MID([1]Sheet1!F447,FIND("(",[1]Sheet1!F447)+1,FIND("-",[1]Sheet1!F447)-FIND("(",[1]Sheet1!F447)-1)</f>
        <v>湖北</v>
      </c>
      <c r="E447" s="2" t="str">
        <f>MID([1]Sheet1!F447,FIND("-",[1]Sheet1!F447)+1,FIND(")",[1]Sheet1!F447)-FIND("-",[1]Sheet1!F447)-1)</f>
        <v>武汉</v>
      </c>
      <c r="F447" s="2" t="s">
        <v>70</v>
      </c>
      <c r="G447" s="2" t="s">
        <v>32</v>
      </c>
      <c r="H447" s="2" t="s">
        <v>66</v>
      </c>
      <c r="I447" s="2" t="s">
        <v>21</v>
      </c>
      <c r="J447" s="2" t="s">
        <v>82</v>
      </c>
      <c r="K447" s="2" t="s">
        <v>115</v>
      </c>
      <c r="L447" s="2" t="s">
        <v>24</v>
      </c>
      <c r="M447" s="2" t="s">
        <v>36</v>
      </c>
      <c r="N447" s="2" t="s">
        <v>37</v>
      </c>
      <c r="O447" s="2" t="s">
        <v>47</v>
      </c>
      <c r="P447" s="2" t="s">
        <v>86</v>
      </c>
      <c r="Q447" s="2" t="s">
        <v>712</v>
      </c>
    </row>
    <row r="448" spans="1:17">
      <c r="A448" s="2" t="s">
        <v>713</v>
      </c>
      <c r="B448" s="2" t="str">
        <f>[1]Sheet1!M448</f>
        <v>男</v>
      </c>
      <c r="C448" s="3" t="str" cm="1">
        <f t="array" ref="C4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48" s="2" t="str">
        <f>MID([1]Sheet1!F448,FIND("(",[1]Sheet1!F448)+1,FIND("-",[1]Sheet1!F448)-FIND("(",[1]Sheet1!F448)-1)</f>
        <v>广西</v>
      </c>
      <c r="E448" s="2" t="str">
        <f>MID([1]Sheet1!F448,FIND("-",[1]Sheet1!F448)+1,FIND(")",[1]Sheet1!F448)-FIND("-",[1]Sheet1!F448)-1)</f>
        <v>桂林</v>
      </c>
      <c r="F448" s="2" t="s">
        <v>31</v>
      </c>
      <c r="G448" s="2" t="s">
        <v>81</v>
      </c>
      <c r="H448" s="2" t="s">
        <v>66</v>
      </c>
      <c r="I448" s="2" t="s">
        <v>51</v>
      </c>
      <c r="J448" s="2" t="s">
        <v>96</v>
      </c>
      <c r="K448" s="2" t="s">
        <v>240</v>
      </c>
      <c r="L448" s="2" t="s">
        <v>24</v>
      </c>
      <c r="M448" s="2" t="s">
        <v>36</v>
      </c>
      <c r="N448" s="2" t="s">
        <v>26</v>
      </c>
      <c r="O448" s="2" t="s">
        <v>47</v>
      </c>
      <c r="P448" s="2" t="s">
        <v>86</v>
      </c>
      <c r="Q448" s="2" t="s">
        <v>356</v>
      </c>
    </row>
    <row r="449" spans="1:17">
      <c r="A449" s="2" t="s">
        <v>558</v>
      </c>
      <c r="B449" s="2" t="str">
        <f>[1]Sheet1!M449</f>
        <v>男</v>
      </c>
      <c r="C449" s="3" t="str" cm="1">
        <f t="array" ref="C4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49" s="2" t="str">
        <f>MID([1]Sheet1!F449,FIND("(",[1]Sheet1!F449)+1,FIND("-",[1]Sheet1!F449)-FIND("(",[1]Sheet1!F449)-1)</f>
        <v>广东</v>
      </c>
      <c r="E449" s="2" t="str">
        <f>MID([1]Sheet1!F449,FIND("-",[1]Sheet1!F449)+1,FIND(")",[1]Sheet1!F449)-FIND("-",[1]Sheet1!F449)-1)</f>
        <v>广州</v>
      </c>
      <c r="F449" s="2" t="s">
        <v>42</v>
      </c>
      <c r="G449" s="2" t="s">
        <v>19</v>
      </c>
      <c r="H449" s="2" t="s">
        <v>66</v>
      </c>
      <c r="I449" s="2" t="s">
        <v>120</v>
      </c>
      <c r="J449" s="2" t="s">
        <v>96</v>
      </c>
      <c r="K449" s="2" t="s">
        <v>125</v>
      </c>
      <c r="L449" s="2" t="s">
        <v>83</v>
      </c>
      <c r="M449" s="2" t="s">
        <v>84</v>
      </c>
      <c r="N449" s="2" t="s">
        <v>85</v>
      </c>
      <c r="O449" s="2" t="s">
        <v>47</v>
      </c>
      <c r="P449" s="2" t="s">
        <v>63</v>
      </c>
      <c r="Q449" s="2" t="s">
        <v>714</v>
      </c>
    </row>
    <row r="450" spans="1:17">
      <c r="A450" s="2" t="s">
        <v>715</v>
      </c>
      <c r="B450" s="2" t="str">
        <f>[1]Sheet1!M450</f>
        <v>男</v>
      </c>
      <c r="C450" s="3" t="str" cm="1">
        <f t="array" ref="C4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50" s="2" t="str">
        <f>MID([1]Sheet1!F450,FIND("(",[1]Sheet1!F450)+1,FIND("-",[1]Sheet1!F450)-FIND("(",[1]Sheet1!F450)-1)</f>
        <v>云南</v>
      </c>
      <c r="E450" s="2" t="str">
        <f>MID([1]Sheet1!F450,FIND("-",[1]Sheet1!F450)+1,FIND(")",[1]Sheet1!F450)-FIND("-",[1]Sheet1!F450)-1)</f>
        <v>红河</v>
      </c>
      <c r="F450" s="2" t="s">
        <v>31</v>
      </c>
      <c r="G450" s="2" t="s">
        <v>81</v>
      </c>
      <c r="H450" s="2" t="s">
        <v>66</v>
      </c>
      <c r="I450" s="2" t="s">
        <v>51</v>
      </c>
      <c r="J450" s="2" t="s">
        <v>96</v>
      </c>
      <c r="K450" s="2" t="s">
        <v>115</v>
      </c>
      <c r="L450" s="2" t="s">
        <v>24</v>
      </c>
      <c r="M450" s="2" t="s">
        <v>716</v>
      </c>
      <c r="N450" s="2" t="s">
        <v>26</v>
      </c>
      <c r="O450" s="2" t="s">
        <v>47</v>
      </c>
      <c r="P450" s="2" t="s">
        <v>179</v>
      </c>
      <c r="Q450" s="2" t="s">
        <v>261</v>
      </c>
    </row>
    <row r="451" spans="1:17">
      <c r="A451" s="2" t="s">
        <v>717</v>
      </c>
      <c r="B451" s="2" t="str">
        <f>[1]Sheet1!M451</f>
        <v>男</v>
      </c>
      <c r="C451" s="3" t="str" cm="1">
        <f t="array" ref="C4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51" s="2" t="str">
        <f>MID([1]Sheet1!F451,FIND("(",[1]Sheet1!F451)+1,FIND("-",[1]Sheet1!F451)-FIND("(",[1]Sheet1!F451)-1)</f>
        <v>重庆</v>
      </c>
      <c r="E451" s="2" t="str">
        <f>MID([1]Sheet1!F451,FIND("-",[1]Sheet1!F451)+1,FIND(")",[1]Sheet1!F451)-FIND("-",[1]Sheet1!F451)-1)</f>
        <v>重庆</v>
      </c>
      <c r="F451" s="2" t="s">
        <v>42</v>
      </c>
      <c r="G451" s="2" t="s">
        <v>50</v>
      </c>
      <c r="H451" s="2" t="s">
        <v>20</v>
      </c>
      <c r="I451" s="2" t="s">
        <v>120</v>
      </c>
      <c r="J451" s="2" t="s">
        <v>35</v>
      </c>
      <c r="K451" s="2" t="s">
        <v>117</v>
      </c>
      <c r="L451" s="2" t="s">
        <v>24</v>
      </c>
      <c r="M451" s="2" t="s">
        <v>71</v>
      </c>
      <c r="N451" s="2" t="s">
        <v>85</v>
      </c>
      <c r="O451" s="2" t="s">
        <v>89</v>
      </c>
      <c r="P451" s="2" t="s">
        <v>86</v>
      </c>
      <c r="Q451" s="2" t="s">
        <v>718</v>
      </c>
    </row>
    <row r="452" spans="1:17">
      <c r="A452" s="2" t="s">
        <v>719</v>
      </c>
      <c r="B452" s="2" t="str">
        <f>[1]Sheet1!M452</f>
        <v>男</v>
      </c>
      <c r="C452" s="3" t="str" cm="1">
        <f t="array" ref="C4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52" s="2" t="str">
        <f>MID([1]Sheet1!F452,FIND("(",[1]Sheet1!F452)+1,FIND("-",[1]Sheet1!F452)-FIND("(",[1]Sheet1!F452)-1)</f>
        <v>广东</v>
      </c>
      <c r="E452" s="2" t="str">
        <f>MID([1]Sheet1!F452,FIND("-",[1]Sheet1!F452)+1,FIND(")",[1]Sheet1!F452)-FIND("-",[1]Sheet1!F452)-1)</f>
        <v>惠州</v>
      </c>
      <c r="F452" s="2" t="s">
        <v>70</v>
      </c>
      <c r="G452" s="2" t="s">
        <v>114</v>
      </c>
      <c r="H452" s="2" t="s">
        <v>66</v>
      </c>
      <c r="I452" s="2" t="s">
        <v>21</v>
      </c>
      <c r="J452" s="2" t="s">
        <v>22</v>
      </c>
      <c r="K452" s="2" t="s">
        <v>117</v>
      </c>
      <c r="L452" s="2" t="s">
        <v>83</v>
      </c>
      <c r="M452" s="2" t="s">
        <v>36</v>
      </c>
      <c r="N452" s="2" t="s">
        <v>37</v>
      </c>
      <c r="O452" s="2" t="s">
        <v>47</v>
      </c>
      <c r="P452" s="2" t="s">
        <v>289</v>
      </c>
      <c r="Q452" s="2" t="s">
        <v>214</v>
      </c>
    </row>
    <row r="453" spans="1:17">
      <c r="A453" s="2" t="s">
        <v>720</v>
      </c>
      <c r="B453" s="2" t="str">
        <f>[1]Sheet1!M453</f>
        <v>男</v>
      </c>
      <c r="C453" s="3" t="str" cm="1">
        <f t="array" ref="C4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53" s="2" t="str">
        <f>MID([1]Sheet1!F453,FIND("(",[1]Sheet1!F453)+1,FIND("-",[1]Sheet1!F453)-FIND("(",[1]Sheet1!F453)-1)</f>
        <v>山西</v>
      </c>
      <c r="E453" s="2" t="str">
        <f>MID([1]Sheet1!F453,FIND("-",[1]Sheet1!F453)+1,FIND(")",[1]Sheet1!F453)-FIND("-",[1]Sheet1!F453)-1)</f>
        <v>大同</v>
      </c>
      <c r="F453" s="2" t="s">
        <v>18</v>
      </c>
      <c r="G453" s="2" t="s">
        <v>50</v>
      </c>
      <c r="H453" s="2" t="s">
        <v>66</v>
      </c>
      <c r="I453" s="2" t="s">
        <v>21</v>
      </c>
      <c r="J453" s="2" t="s">
        <v>56</v>
      </c>
      <c r="K453" s="2" t="s">
        <v>115</v>
      </c>
      <c r="L453" s="2" t="s">
        <v>24</v>
      </c>
      <c r="M453" s="2" t="s">
        <v>36</v>
      </c>
      <c r="N453" s="2" t="s">
        <v>37</v>
      </c>
      <c r="O453" s="2" t="s">
        <v>373</v>
      </c>
      <c r="P453" s="2" t="s">
        <v>218</v>
      </c>
      <c r="Q453" s="2" t="s">
        <v>339</v>
      </c>
    </row>
    <row r="454" spans="1:17">
      <c r="A454" s="2" t="s">
        <v>721</v>
      </c>
      <c r="B454" s="2" t="str">
        <f>[1]Sheet1!M454</f>
        <v>男</v>
      </c>
      <c r="C454" s="3" t="str" cm="1">
        <f t="array" ref="C4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54" s="2" t="str">
        <f>MID([1]Sheet1!F454,FIND("(",[1]Sheet1!F454)+1,FIND("-",[1]Sheet1!F454)-FIND("(",[1]Sheet1!F454)-1)</f>
        <v>湖南</v>
      </c>
      <c r="E454" s="2" t="str">
        <f>MID([1]Sheet1!F454,FIND("-",[1]Sheet1!F454)+1,FIND(")",[1]Sheet1!F454)-FIND("-",[1]Sheet1!F454)-1)</f>
        <v>张家界</v>
      </c>
      <c r="F454" s="2" t="s">
        <v>70</v>
      </c>
      <c r="G454" s="2" t="s">
        <v>162</v>
      </c>
      <c r="H454" s="2" t="s">
        <v>33</v>
      </c>
      <c r="I454" s="2" t="s">
        <v>43</v>
      </c>
      <c r="J454" s="2" t="s">
        <v>82</v>
      </c>
      <c r="K454" s="2" t="s">
        <v>115</v>
      </c>
      <c r="L454" s="2" t="s">
        <v>83</v>
      </c>
      <c r="M454" s="2" t="s">
        <v>67</v>
      </c>
      <c r="N454" s="2" t="s">
        <v>37</v>
      </c>
      <c r="O454" s="2" t="s">
        <v>58</v>
      </c>
      <c r="P454" s="2" t="s">
        <v>86</v>
      </c>
      <c r="Q454" s="2" t="s">
        <v>722</v>
      </c>
    </row>
    <row r="455" spans="1:17">
      <c r="A455" s="2" t="s">
        <v>723</v>
      </c>
      <c r="B455" s="2" t="str">
        <f>[1]Sheet1!M455</f>
        <v>女</v>
      </c>
      <c r="C455" s="3" t="str" cm="1">
        <f t="array" ref="C4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55" s="2" t="str">
        <f>MID([1]Sheet1!F455,FIND("(",[1]Sheet1!F455)+1,FIND("-",[1]Sheet1!F455)-FIND("(",[1]Sheet1!F455)-1)</f>
        <v>河南</v>
      </c>
      <c r="E455" s="2" t="str">
        <f>MID([1]Sheet1!F455,FIND("-",[1]Sheet1!F455)+1,FIND(")",[1]Sheet1!F455)-FIND("-",[1]Sheet1!F455)-1)</f>
        <v>郑州</v>
      </c>
      <c r="F455" s="2" t="s">
        <v>70</v>
      </c>
      <c r="G455" s="2" t="s">
        <v>32</v>
      </c>
      <c r="H455" s="2" t="s">
        <v>66</v>
      </c>
      <c r="I455" s="2" t="s">
        <v>51</v>
      </c>
      <c r="J455" s="2" t="s">
        <v>82</v>
      </c>
      <c r="K455" s="2" t="s">
        <v>130</v>
      </c>
      <c r="L455" s="2" t="s">
        <v>24</v>
      </c>
      <c r="M455" s="2" t="s">
        <v>36</v>
      </c>
      <c r="N455" s="2" t="s">
        <v>37</v>
      </c>
      <c r="O455" s="2" t="s">
        <v>424</v>
      </c>
      <c r="P455" s="2" t="s">
        <v>63</v>
      </c>
      <c r="Q455" s="2" t="s">
        <v>48</v>
      </c>
    </row>
    <row r="456" spans="1:17">
      <c r="A456" s="2" t="s">
        <v>713</v>
      </c>
      <c r="B456" s="2" t="str">
        <f>[1]Sheet1!M456</f>
        <v>男</v>
      </c>
      <c r="C456" s="3" t="str" cm="1">
        <f t="array" ref="C4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56" s="2" t="str">
        <f>MID([1]Sheet1!F456,FIND("(",[1]Sheet1!F456)+1,FIND("-",[1]Sheet1!F456)-FIND("(",[1]Sheet1!F456)-1)</f>
        <v>广西</v>
      </c>
      <c r="E456" s="2" t="str">
        <f>MID([1]Sheet1!F456,FIND("-",[1]Sheet1!F456)+1,FIND(")",[1]Sheet1!F456)-FIND("-",[1]Sheet1!F456)-1)</f>
        <v>桂林</v>
      </c>
      <c r="F456" s="2" t="s">
        <v>31</v>
      </c>
      <c r="G456" s="2" t="s">
        <v>81</v>
      </c>
      <c r="H456" s="2" t="s">
        <v>66</v>
      </c>
      <c r="I456" s="2" t="s">
        <v>51</v>
      </c>
      <c r="J456" s="2" t="s">
        <v>96</v>
      </c>
      <c r="K456" s="2" t="s">
        <v>240</v>
      </c>
      <c r="L456" s="2" t="s">
        <v>24</v>
      </c>
      <c r="M456" s="2" t="s">
        <v>36</v>
      </c>
      <c r="N456" s="2" t="s">
        <v>26</v>
      </c>
      <c r="O456" s="2" t="s">
        <v>47</v>
      </c>
      <c r="P456" s="2" t="s">
        <v>86</v>
      </c>
      <c r="Q456" s="2" t="s">
        <v>356</v>
      </c>
    </row>
    <row r="457" spans="1:17">
      <c r="A457" s="2" t="s">
        <v>724</v>
      </c>
      <c r="B457" s="2" t="str">
        <f>[1]Sheet1!M457</f>
        <v>男</v>
      </c>
      <c r="C457" s="3" t="str" cm="1">
        <f t="array" ref="C4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57" s="2" t="str">
        <f>MID([1]Sheet1!F457,FIND("(",[1]Sheet1!F457)+1,FIND("-",[1]Sheet1!F457)-FIND("(",[1]Sheet1!F457)-1)</f>
        <v>河南</v>
      </c>
      <c r="E457" s="2" t="str">
        <f>MID([1]Sheet1!F457,FIND("-",[1]Sheet1!F457)+1,FIND(")",[1]Sheet1!F457)-FIND("-",[1]Sheet1!F457)-1)</f>
        <v>郑州</v>
      </c>
      <c r="F457" s="2" t="s">
        <v>42</v>
      </c>
      <c r="G457" s="2" t="s">
        <v>32</v>
      </c>
      <c r="H457" s="2" t="s">
        <v>20</v>
      </c>
      <c r="I457" s="2" t="s">
        <v>51</v>
      </c>
      <c r="J457" s="2" t="s">
        <v>82</v>
      </c>
      <c r="K457" s="2" t="s">
        <v>725</v>
      </c>
      <c r="L457" s="2" t="s">
        <v>24</v>
      </c>
      <c r="M457" s="2" t="s">
        <v>71</v>
      </c>
      <c r="N457" s="2" t="s">
        <v>37</v>
      </c>
      <c r="O457" s="2" t="s">
        <v>89</v>
      </c>
      <c r="P457" s="2" t="s">
        <v>39</v>
      </c>
      <c r="Q457" s="2" t="s">
        <v>48</v>
      </c>
    </row>
    <row r="458" spans="1:17">
      <c r="A458" s="2" t="s">
        <v>726</v>
      </c>
      <c r="B458" s="2" t="str">
        <f>[1]Sheet1!M458</f>
        <v>男</v>
      </c>
      <c r="C458" s="3" t="str" cm="1">
        <f t="array" ref="C4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58" s="2" t="str">
        <f>MID([1]Sheet1!F458,FIND("(",[1]Sheet1!F458)+1,FIND("-",[1]Sheet1!F458)-FIND("(",[1]Sheet1!F458)-1)</f>
        <v>广西</v>
      </c>
      <c r="E458" s="2" t="str">
        <f>MID([1]Sheet1!F458,FIND("-",[1]Sheet1!F458)+1,FIND(")",[1]Sheet1!F458)-FIND("-",[1]Sheet1!F458)-1)</f>
        <v>南宁</v>
      </c>
      <c r="F458" s="2" t="s">
        <v>42</v>
      </c>
      <c r="G458" s="2" t="s">
        <v>32</v>
      </c>
      <c r="H458" s="2" t="s">
        <v>66</v>
      </c>
      <c r="I458" s="2" t="s">
        <v>51</v>
      </c>
      <c r="J458" s="2" t="s">
        <v>82</v>
      </c>
      <c r="K458" s="2" t="s">
        <v>115</v>
      </c>
      <c r="L458" s="2" t="s">
        <v>24</v>
      </c>
      <c r="M458" s="2" t="s">
        <v>111</v>
      </c>
      <c r="N458" s="2" t="s">
        <v>37</v>
      </c>
      <c r="O458" s="2" t="s">
        <v>47</v>
      </c>
      <c r="P458" s="2" t="s">
        <v>179</v>
      </c>
      <c r="Q458" s="2" t="s">
        <v>525</v>
      </c>
    </row>
    <row r="459" spans="1:17">
      <c r="A459" s="2" t="s">
        <v>727</v>
      </c>
      <c r="B459" s="2" t="str">
        <f>[1]Sheet1!M459</f>
        <v>男</v>
      </c>
      <c r="C459" s="3" t="str" cm="1">
        <f t="array" ref="C4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59" s="2" t="str">
        <f>MID([1]Sheet1!F459,FIND("(",[1]Sheet1!F459)+1,FIND("-",[1]Sheet1!F459)-FIND("(",[1]Sheet1!F459)-1)</f>
        <v>广东</v>
      </c>
      <c r="E459" s="2" t="str">
        <f>MID([1]Sheet1!F459,FIND("-",[1]Sheet1!F459)+1,FIND(")",[1]Sheet1!F459)-FIND("-",[1]Sheet1!F459)-1)</f>
        <v>广州</v>
      </c>
      <c r="F459" s="2" t="s">
        <v>18</v>
      </c>
      <c r="G459" s="2" t="s">
        <v>50</v>
      </c>
      <c r="H459" s="2" t="s">
        <v>20</v>
      </c>
      <c r="I459" s="2" t="s">
        <v>73</v>
      </c>
      <c r="J459" s="2" t="s">
        <v>44</v>
      </c>
      <c r="K459" s="2" t="s">
        <v>130</v>
      </c>
      <c r="L459" s="2" t="s">
        <v>24</v>
      </c>
      <c r="M459" s="2" t="s">
        <v>25</v>
      </c>
      <c r="N459" s="2" t="s">
        <v>37</v>
      </c>
      <c r="O459" s="2" t="s">
        <v>47</v>
      </c>
      <c r="P459" s="2" t="s">
        <v>39</v>
      </c>
      <c r="Q459" s="2" t="s">
        <v>728</v>
      </c>
    </row>
    <row r="460" spans="1:17">
      <c r="A460" s="2" t="s">
        <v>729</v>
      </c>
      <c r="B460" s="2" t="str">
        <f>[1]Sheet1!M460</f>
        <v>男</v>
      </c>
      <c r="C460" s="3" t="str" cm="1">
        <f t="array" ref="C4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60" s="2" t="str">
        <f>MID([1]Sheet1!F460,FIND("(",[1]Sheet1!F460)+1,FIND("-",[1]Sheet1!F460)-FIND("(",[1]Sheet1!F460)-1)</f>
        <v>福建</v>
      </c>
      <c r="E460" s="2" t="str">
        <f>MID([1]Sheet1!F460,FIND("-",[1]Sheet1!F460)+1,FIND(")",[1]Sheet1!F460)-FIND("-",[1]Sheet1!F460)-1)</f>
        <v>宁德</v>
      </c>
      <c r="F460" s="2" t="s">
        <v>70</v>
      </c>
      <c r="G460" s="2" t="s">
        <v>50</v>
      </c>
      <c r="H460" s="2" t="s">
        <v>66</v>
      </c>
      <c r="I460" s="2" t="s">
        <v>120</v>
      </c>
      <c r="J460" s="2" t="s">
        <v>44</v>
      </c>
      <c r="K460" s="2" t="s">
        <v>537</v>
      </c>
      <c r="L460" s="2" t="s">
        <v>83</v>
      </c>
      <c r="M460" s="2" t="s">
        <v>71</v>
      </c>
      <c r="N460" s="2" t="s">
        <v>46</v>
      </c>
      <c r="O460" s="2" t="s">
        <v>27</v>
      </c>
      <c r="P460" s="2" t="s">
        <v>39</v>
      </c>
      <c r="Q460" s="2" t="s">
        <v>481</v>
      </c>
    </row>
    <row r="461" spans="1:17">
      <c r="A461" s="2" t="s">
        <v>730</v>
      </c>
      <c r="B461" s="2" t="str">
        <f>[1]Sheet1!M461</f>
        <v>男</v>
      </c>
      <c r="C461" s="3" t="str" cm="1">
        <f t="array" ref="C4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61" s="2" t="str">
        <f>MID([1]Sheet1!F461,FIND("(",[1]Sheet1!F461)+1,FIND("-",[1]Sheet1!F461)-FIND("(",[1]Sheet1!F461)-1)</f>
        <v>重庆</v>
      </c>
      <c r="E461" s="2" t="str">
        <f>MID([1]Sheet1!F461,FIND("-",[1]Sheet1!F461)+1,FIND(")",[1]Sheet1!F461)-FIND("-",[1]Sheet1!F461)-1)</f>
        <v>重庆</v>
      </c>
      <c r="F461" s="2" t="s">
        <v>88</v>
      </c>
      <c r="G461" s="2" t="s">
        <v>19</v>
      </c>
      <c r="H461" s="2" t="s">
        <v>66</v>
      </c>
      <c r="I461" s="2" t="s">
        <v>211</v>
      </c>
      <c r="J461" s="2" t="s">
        <v>56</v>
      </c>
      <c r="K461" s="2" t="s">
        <v>217</v>
      </c>
      <c r="L461" s="2" t="s">
        <v>24</v>
      </c>
      <c r="M461" s="2" t="s">
        <v>36</v>
      </c>
      <c r="N461" s="2" t="s">
        <v>105</v>
      </c>
      <c r="O461" s="2" t="s">
        <v>58</v>
      </c>
      <c r="P461" s="2" t="s">
        <v>28</v>
      </c>
      <c r="Q461" s="2" t="s">
        <v>731</v>
      </c>
    </row>
    <row r="462" spans="1:17">
      <c r="A462" s="2" t="s">
        <v>558</v>
      </c>
      <c r="B462" s="2" t="str">
        <f>[1]Sheet1!M462</f>
        <v>男</v>
      </c>
      <c r="C462" s="3" t="str" cm="1">
        <f t="array" ref="C4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62" s="2" t="str">
        <f>MID([1]Sheet1!F462,FIND("(",[1]Sheet1!F462)+1,FIND("-",[1]Sheet1!F462)-FIND("(",[1]Sheet1!F462)-1)</f>
        <v>广东</v>
      </c>
      <c r="E462" s="2" t="str">
        <f>MID([1]Sheet1!F462,FIND("-",[1]Sheet1!F462)+1,FIND(")",[1]Sheet1!F462)-FIND("-",[1]Sheet1!F462)-1)</f>
        <v>广州</v>
      </c>
      <c r="F462" s="2" t="s">
        <v>42</v>
      </c>
      <c r="G462" s="2" t="s">
        <v>19</v>
      </c>
      <c r="H462" s="2" t="s">
        <v>66</v>
      </c>
      <c r="I462" s="2" t="s">
        <v>120</v>
      </c>
      <c r="J462" s="2" t="s">
        <v>96</v>
      </c>
      <c r="K462" s="2" t="s">
        <v>125</v>
      </c>
      <c r="L462" s="2" t="s">
        <v>83</v>
      </c>
      <c r="M462" s="2" t="s">
        <v>71</v>
      </c>
      <c r="N462" s="2" t="s">
        <v>85</v>
      </c>
      <c r="O462" s="2" t="s">
        <v>89</v>
      </c>
      <c r="P462" s="2" t="s">
        <v>63</v>
      </c>
      <c r="Q462" s="2" t="s">
        <v>269</v>
      </c>
    </row>
    <row r="463" spans="1:17">
      <c r="A463" s="2" t="s">
        <v>732</v>
      </c>
      <c r="B463" s="2" t="str">
        <f>[1]Sheet1!M463</f>
        <v>男</v>
      </c>
      <c r="C463" s="3" t="str" cm="1">
        <f t="array" ref="C4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63" s="2" t="str">
        <f>MID([1]Sheet1!F463,FIND("(",[1]Sheet1!F463)+1,FIND("-",[1]Sheet1!F463)-FIND("(",[1]Sheet1!F463)-1)</f>
        <v>河南</v>
      </c>
      <c r="E463" s="2" t="str">
        <f>MID([1]Sheet1!F463,FIND("-",[1]Sheet1!F463)+1,FIND(")",[1]Sheet1!F463)-FIND("-",[1]Sheet1!F463)-1)</f>
        <v>郑州</v>
      </c>
      <c r="F463" s="2" t="s">
        <v>42</v>
      </c>
      <c r="G463" s="2" t="s">
        <v>19</v>
      </c>
      <c r="H463" s="2" t="s">
        <v>66</v>
      </c>
      <c r="I463" s="2" t="s">
        <v>51</v>
      </c>
      <c r="J463" s="2" t="s">
        <v>82</v>
      </c>
      <c r="K463" s="2" t="s">
        <v>117</v>
      </c>
      <c r="L463" s="2" t="s">
        <v>83</v>
      </c>
      <c r="M463" s="2" t="s">
        <v>78</v>
      </c>
      <c r="N463" s="2" t="s">
        <v>85</v>
      </c>
      <c r="O463" s="2" t="s">
        <v>47</v>
      </c>
      <c r="P463" s="2" t="s">
        <v>39</v>
      </c>
      <c r="Q463" s="2" t="s">
        <v>133</v>
      </c>
    </row>
    <row r="464" spans="1:17">
      <c r="A464" s="2" t="s">
        <v>733</v>
      </c>
      <c r="B464" s="2" t="str">
        <f>[1]Sheet1!M464</f>
        <v>男</v>
      </c>
      <c r="C464" s="3" t="str" cm="1">
        <f t="array" ref="C4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64" s="2" t="str">
        <f>MID([1]Sheet1!F464,FIND("(",[1]Sheet1!F464)+1,FIND("-",[1]Sheet1!F464)-FIND("(",[1]Sheet1!F464)-1)</f>
        <v>广西</v>
      </c>
      <c r="E464" s="2" t="str">
        <f>MID([1]Sheet1!F464,FIND("-",[1]Sheet1!F464)+1,FIND(")",[1]Sheet1!F464)-FIND("-",[1]Sheet1!F464)-1)</f>
        <v>南宁</v>
      </c>
      <c r="F464" s="2" t="s">
        <v>159</v>
      </c>
      <c r="G464" s="2" t="s">
        <v>19</v>
      </c>
      <c r="H464" s="2" t="s">
        <v>66</v>
      </c>
      <c r="I464" s="2" t="s">
        <v>51</v>
      </c>
      <c r="J464" s="2" t="s">
        <v>56</v>
      </c>
      <c r="K464" s="2" t="s">
        <v>121</v>
      </c>
      <c r="L464" s="2" t="s">
        <v>24</v>
      </c>
      <c r="M464" s="2" t="s">
        <v>36</v>
      </c>
      <c r="N464" s="2" t="s">
        <v>37</v>
      </c>
      <c r="O464" s="2" t="s">
        <v>97</v>
      </c>
      <c r="P464" s="2" t="s">
        <v>39</v>
      </c>
      <c r="Q464" s="2" t="s">
        <v>150</v>
      </c>
    </row>
    <row r="465" spans="1:17">
      <c r="A465" s="2" t="s">
        <v>734</v>
      </c>
      <c r="B465" s="2" t="str">
        <f>[1]Sheet1!M465</f>
        <v>男</v>
      </c>
      <c r="C465" s="3" t="str" cm="1">
        <f t="array" ref="C4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65" s="2" t="str">
        <f>MID([1]Sheet1!F465,FIND("(",[1]Sheet1!F465)+1,FIND("-",[1]Sheet1!F465)-FIND("(",[1]Sheet1!F465)-1)</f>
        <v>天津</v>
      </c>
      <c r="E465" s="2" t="str">
        <f>MID([1]Sheet1!F465,FIND("-",[1]Sheet1!F465)+1,FIND(")",[1]Sheet1!F465)-FIND("-",[1]Sheet1!F465)-1)</f>
        <v>天津</v>
      </c>
      <c r="F465" s="2" t="s">
        <v>70</v>
      </c>
      <c r="G465" s="2" t="s">
        <v>19</v>
      </c>
      <c r="H465" s="2" t="s">
        <v>20</v>
      </c>
      <c r="I465" s="2" t="s">
        <v>21</v>
      </c>
      <c r="J465" s="2" t="s">
        <v>82</v>
      </c>
      <c r="K465" s="2" t="s">
        <v>121</v>
      </c>
      <c r="L465" s="2" t="s">
        <v>83</v>
      </c>
      <c r="M465" s="2" t="s">
        <v>143</v>
      </c>
      <c r="N465" s="2" t="s">
        <v>37</v>
      </c>
      <c r="O465" s="2" t="s">
        <v>106</v>
      </c>
      <c r="P465" s="2" t="s">
        <v>28</v>
      </c>
      <c r="Q465" s="2" t="s">
        <v>195</v>
      </c>
    </row>
    <row r="466" spans="1:17">
      <c r="A466" s="2" t="s">
        <v>735</v>
      </c>
      <c r="B466" s="2" t="str">
        <f>[1]Sheet1!M466</f>
        <v>女</v>
      </c>
      <c r="C466" s="3" t="str" cm="1">
        <f t="array" ref="C4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466" s="2" t="str">
        <f>MID([1]Sheet1!F466,FIND("(",[1]Sheet1!F466)+1,FIND("-",[1]Sheet1!F466)-FIND("(",[1]Sheet1!F466)-1)</f>
        <v>陕西</v>
      </c>
      <c r="E466" s="2" t="str">
        <f>MID([1]Sheet1!F466,FIND("-",[1]Sheet1!F466)+1,FIND(")",[1]Sheet1!F466)-FIND("-",[1]Sheet1!F466)-1)</f>
        <v>咸阳</v>
      </c>
      <c r="F466" s="2" t="s">
        <v>70</v>
      </c>
      <c r="G466" s="2" t="s">
        <v>32</v>
      </c>
      <c r="H466" s="2" t="s">
        <v>20</v>
      </c>
      <c r="I466" s="2" t="s">
        <v>43</v>
      </c>
      <c r="J466" s="2" t="s">
        <v>82</v>
      </c>
      <c r="K466" s="2" t="s">
        <v>121</v>
      </c>
      <c r="L466" s="2" t="s">
        <v>24</v>
      </c>
      <c r="M466" s="2" t="s">
        <v>71</v>
      </c>
      <c r="N466" s="2" t="s">
        <v>46</v>
      </c>
      <c r="O466" s="2" t="s">
        <v>89</v>
      </c>
      <c r="P466" s="2" t="s">
        <v>28</v>
      </c>
      <c r="Q466" s="2" t="s">
        <v>48</v>
      </c>
    </row>
    <row r="467" spans="1:17">
      <c r="A467" s="2" t="s">
        <v>736</v>
      </c>
      <c r="B467" s="2" t="str">
        <f>[1]Sheet1!M467</f>
        <v>男</v>
      </c>
      <c r="C467" s="3" t="str" cm="1">
        <f t="array" ref="C4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67" s="2" t="str">
        <f>MID([1]Sheet1!F467,FIND("(",[1]Sheet1!F467)+1,FIND("-",[1]Sheet1!F467)-FIND("(",[1]Sheet1!F467)-1)</f>
        <v>广东</v>
      </c>
      <c r="E467" s="2" t="str">
        <f>MID([1]Sheet1!F467,FIND("-",[1]Sheet1!F467)+1,FIND(")",[1]Sheet1!F467)-FIND("-",[1]Sheet1!F467)-1)</f>
        <v>广州</v>
      </c>
      <c r="F467" s="2" t="s">
        <v>42</v>
      </c>
      <c r="G467" s="2" t="s">
        <v>50</v>
      </c>
      <c r="H467" s="2" t="s">
        <v>66</v>
      </c>
      <c r="I467" s="2" t="s">
        <v>34</v>
      </c>
      <c r="J467" s="2" t="s">
        <v>96</v>
      </c>
      <c r="K467" s="2" t="s">
        <v>117</v>
      </c>
      <c r="L467" s="2" t="s">
        <v>24</v>
      </c>
      <c r="M467" s="2" t="s">
        <v>36</v>
      </c>
      <c r="N467" s="2" t="s">
        <v>85</v>
      </c>
      <c r="O467" s="2" t="s">
        <v>27</v>
      </c>
      <c r="P467" s="2" t="s">
        <v>86</v>
      </c>
      <c r="Q467" s="2" t="s">
        <v>48</v>
      </c>
    </row>
    <row r="468" spans="1:17">
      <c r="A468" s="2" t="s">
        <v>737</v>
      </c>
      <c r="B468" s="2" t="str">
        <f>[1]Sheet1!M468</f>
        <v>男</v>
      </c>
      <c r="C468" s="3" t="str" cm="1">
        <f t="array" ref="C4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68" s="2" t="str">
        <f>MID([1]Sheet1!F468,FIND("(",[1]Sheet1!F468)+1,FIND("-",[1]Sheet1!F468)-FIND("(",[1]Sheet1!F468)-1)</f>
        <v>浙江</v>
      </c>
      <c r="E468" s="2" t="str">
        <f>MID([1]Sheet1!F468,FIND("-",[1]Sheet1!F468)+1,FIND(")",[1]Sheet1!F468)-FIND("-",[1]Sheet1!F468)-1)</f>
        <v>金华</v>
      </c>
      <c r="F468" s="2" t="s">
        <v>18</v>
      </c>
      <c r="G468" s="2" t="s">
        <v>32</v>
      </c>
      <c r="H468" s="2" t="s">
        <v>33</v>
      </c>
      <c r="I468" s="2" t="s">
        <v>43</v>
      </c>
      <c r="J468" s="2" t="s">
        <v>82</v>
      </c>
      <c r="K468" s="2" t="s">
        <v>121</v>
      </c>
      <c r="L468" s="2" t="s">
        <v>24</v>
      </c>
      <c r="M468" s="2" t="s">
        <v>126</v>
      </c>
      <c r="N468" s="2" t="s">
        <v>26</v>
      </c>
      <c r="O468" s="2" t="s">
        <v>89</v>
      </c>
      <c r="P468" s="2" t="s">
        <v>39</v>
      </c>
      <c r="Q468" s="2" t="s">
        <v>738</v>
      </c>
    </row>
    <row r="469" spans="1:17">
      <c r="A469" s="2" t="s">
        <v>739</v>
      </c>
      <c r="B469" s="2" t="str">
        <f>[1]Sheet1!M469</f>
        <v>男</v>
      </c>
      <c r="C469" s="3" t="str" cm="1">
        <f t="array" ref="C4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469" s="2" t="str">
        <f>MID([1]Sheet1!F469,FIND("(",[1]Sheet1!F469)+1,FIND("-",[1]Sheet1!F469)-FIND("(",[1]Sheet1!F469)-1)</f>
        <v>陕西</v>
      </c>
      <c r="E469" s="2" t="str">
        <f>MID([1]Sheet1!F469,FIND("-",[1]Sheet1!F469)+1,FIND(")",[1]Sheet1!F469)-FIND("-",[1]Sheet1!F469)-1)</f>
        <v>延安</v>
      </c>
      <c r="F469" s="2" t="s">
        <v>31</v>
      </c>
      <c r="G469" s="2" t="s">
        <v>81</v>
      </c>
      <c r="H469" s="2" t="s">
        <v>66</v>
      </c>
      <c r="I469" s="2" t="s">
        <v>21</v>
      </c>
      <c r="J469" s="2" t="s">
        <v>22</v>
      </c>
      <c r="K469" s="2" t="s">
        <v>117</v>
      </c>
      <c r="L469" s="2" t="s">
        <v>24</v>
      </c>
      <c r="M469" s="2" t="s">
        <v>92</v>
      </c>
      <c r="N469" s="2" t="s">
        <v>37</v>
      </c>
      <c r="O469" s="2" t="s">
        <v>740</v>
      </c>
      <c r="P469" s="2" t="s">
        <v>63</v>
      </c>
      <c r="Q469" s="2" t="s">
        <v>246</v>
      </c>
    </row>
    <row r="470" spans="1:17">
      <c r="A470" s="2" t="s">
        <v>741</v>
      </c>
      <c r="B470" s="2" t="str">
        <f>[1]Sheet1!M470</f>
        <v>男</v>
      </c>
      <c r="C470" s="3" t="str" cm="1">
        <f t="array" ref="C4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70" s="2" t="str">
        <f>MID([1]Sheet1!F470,FIND("(",[1]Sheet1!F470)+1,FIND("-",[1]Sheet1!F470)-FIND("(",[1]Sheet1!F470)-1)</f>
        <v>河南</v>
      </c>
      <c r="E470" s="2" t="str">
        <f>MID([1]Sheet1!F470,FIND("-",[1]Sheet1!F470)+1,FIND(")",[1]Sheet1!F470)-FIND("-",[1]Sheet1!F470)-1)</f>
        <v>焦作</v>
      </c>
      <c r="F470" s="2" t="s">
        <v>70</v>
      </c>
      <c r="G470" s="2" t="s">
        <v>81</v>
      </c>
      <c r="H470" s="2" t="s">
        <v>20</v>
      </c>
      <c r="I470" s="2" t="s">
        <v>51</v>
      </c>
      <c r="J470" s="2" t="s">
        <v>77</v>
      </c>
      <c r="K470" s="2" t="s">
        <v>117</v>
      </c>
      <c r="L470" s="2" t="s">
        <v>24</v>
      </c>
      <c r="M470" s="2" t="s">
        <v>143</v>
      </c>
      <c r="N470" s="2" t="s">
        <v>37</v>
      </c>
      <c r="O470" s="2" t="s">
        <v>58</v>
      </c>
      <c r="P470" s="2" t="s">
        <v>39</v>
      </c>
      <c r="Q470" s="2" t="s">
        <v>312</v>
      </c>
    </row>
    <row r="471" spans="1:17">
      <c r="A471" s="2" t="s">
        <v>742</v>
      </c>
      <c r="B471" s="2" t="str">
        <f>[1]Sheet1!M471</f>
        <v>男</v>
      </c>
      <c r="C471" s="3" t="str" cm="1">
        <f t="array" ref="C4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71" s="2" t="str">
        <f>MID([1]Sheet1!F471,FIND("(",[1]Sheet1!F471)+1,FIND("-",[1]Sheet1!F471)-FIND("(",[1]Sheet1!F471)-1)</f>
        <v>天津</v>
      </c>
      <c r="E471" s="2" t="str">
        <f>MID([1]Sheet1!F471,FIND("-",[1]Sheet1!F471)+1,FIND(")",[1]Sheet1!F471)-FIND("-",[1]Sheet1!F471)-1)</f>
        <v>天津</v>
      </c>
      <c r="F471" s="2" t="s">
        <v>31</v>
      </c>
      <c r="G471" s="2" t="s">
        <v>50</v>
      </c>
      <c r="H471" s="2" t="s">
        <v>66</v>
      </c>
      <c r="I471" s="2" t="s">
        <v>43</v>
      </c>
      <c r="J471" s="2" t="s">
        <v>82</v>
      </c>
      <c r="K471" s="2" t="s">
        <v>117</v>
      </c>
      <c r="L471" s="2" t="s">
        <v>24</v>
      </c>
      <c r="M471" s="2" t="s">
        <v>78</v>
      </c>
      <c r="N471" s="2" t="s">
        <v>26</v>
      </c>
      <c r="O471" s="2" t="s">
        <v>27</v>
      </c>
      <c r="P471" s="2" t="s">
        <v>39</v>
      </c>
      <c r="Q471" s="2" t="s">
        <v>348</v>
      </c>
    </row>
    <row r="472" spans="1:17">
      <c r="A472" s="2" t="s">
        <v>743</v>
      </c>
      <c r="B472" s="2" t="str">
        <f>[1]Sheet1!M472</f>
        <v>女</v>
      </c>
      <c r="C472" s="3" t="str" cm="1">
        <f t="array" ref="C4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72" s="2" t="str">
        <f>MID([1]Sheet1!F472,FIND("(",[1]Sheet1!F472)+1,FIND("-",[1]Sheet1!F472)-FIND("(",[1]Sheet1!F472)-1)</f>
        <v>四川</v>
      </c>
      <c r="E472" s="2" t="str">
        <f>MID([1]Sheet1!F472,FIND("-",[1]Sheet1!F472)+1,FIND(")",[1]Sheet1!F472)-FIND("-",[1]Sheet1!F472)-1)</f>
        <v>成都</v>
      </c>
      <c r="F472" s="2" t="s">
        <v>42</v>
      </c>
      <c r="G472" s="2" t="s">
        <v>32</v>
      </c>
      <c r="H472" s="2" t="s">
        <v>66</v>
      </c>
      <c r="I472" s="2" t="s">
        <v>34</v>
      </c>
      <c r="J472" s="2" t="s">
        <v>82</v>
      </c>
      <c r="K472" s="2" t="s">
        <v>495</v>
      </c>
      <c r="L472" s="2" t="s">
        <v>24</v>
      </c>
      <c r="M472" s="2" t="s">
        <v>78</v>
      </c>
      <c r="N472" s="2" t="s">
        <v>46</v>
      </c>
      <c r="O472" s="2" t="s">
        <v>47</v>
      </c>
      <c r="P472" s="2" t="s">
        <v>63</v>
      </c>
      <c r="Q472" s="2" t="s">
        <v>744</v>
      </c>
    </row>
    <row r="473" spans="1:17">
      <c r="A473" s="2" t="s">
        <v>745</v>
      </c>
      <c r="B473" s="2" t="str">
        <f>[1]Sheet1!M473</f>
        <v>男</v>
      </c>
      <c r="C473" s="3" t="str" cm="1">
        <f t="array" ref="C4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73" s="2" t="str">
        <f>MID([1]Sheet1!F473,FIND("(",[1]Sheet1!F473)+1,FIND("-",[1]Sheet1!F473)-FIND("(",[1]Sheet1!F473)-1)</f>
        <v>广东</v>
      </c>
      <c r="E473" s="2" t="str">
        <f>MID([1]Sheet1!F473,FIND("-",[1]Sheet1!F473)+1,FIND(")",[1]Sheet1!F473)-FIND("-",[1]Sheet1!F473)-1)</f>
        <v>深圳</v>
      </c>
      <c r="F473" s="2" t="s">
        <v>42</v>
      </c>
      <c r="G473" s="2" t="s">
        <v>81</v>
      </c>
      <c r="H473" s="2" t="s">
        <v>66</v>
      </c>
      <c r="I473" s="2" t="s">
        <v>73</v>
      </c>
      <c r="J473" s="2" t="s">
        <v>22</v>
      </c>
      <c r="K473" s="2" t="s">
        <v>169</v>
      </c>
      <c r="L473" s="2" t="s">
        <v>24</v>
      </c>
      <c r="M473" s="2" t="s">
        <v>143</v>
      </c>
      <c r="N473" s="2" t="s">
        <v>37</v>
      </c>
      <c r="O473" s="2" t="s">
        <v>47</v>
      </c>
      <c r="P473" s="2" t="s">
        <v>28</v>
      </c>
      <c r="Q473" s="2" t="s">
        <v>144</v>
      </c>
    </row>
    <row r="474" spans="1:17">
      <c r="A474" s="2" t="s">
        <v>746</v>
      </c>
      <c r="B474" s="2" t="str">
        <f>[1]Sheet1!M474</f>
        <v>男</v>
      </c>
      <c r="C474" s="3" t="str" cm="1">
        <f t="array" ref="C4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74" s="2" t="str">
        <f>MID([1]Sheet1!F474,FIND("(",[1]Sheet1!F474)+1,FIND("-",[1]Sheet1!F474)-FIND("(",[1]Sheet1!F474)-1)</f>
        <v>天津</v>
      </c>
      <c r="E474" s="2" t="str">
        <f>MID([1]Sheet1!F474,FIND("-",[1]Sheet1!F474)+1,FIND(")",[1]Sheet1!F474)-FIND("-",[1]Sheet1!F474)-1)</f>
        <v>天津</v>
      </c>
      <c r="F474" s="2" t="s">
        <v>18</v>
      </c>
      <c r="G474" s="2" t="s">
        <v>32</v>
      </c>
      <c r="H474" s="2" t="s">
        <v>66</v>
      </c>
      <c r="I474" s="2" t="s">
        <v>51</v>
      </c>
      <c r="J474" s="2" t="s">
        <v>44</v>
      </c>
      <c r="K474" s="2" t="s">
        <v>115</v>
      </c>
      <c r="L474" s="2" t="s">
        <v>24</v>
      </c>
      <c r="M474" s="2" t="s">
        <v>36</v>
      </c>
      <c r="N474" s="2" t="s">
        <v>37</v>
      </c>
      <c r="O474" s="2" t="s">
        <v>373</v>
      </c>
      <c r="P474" s="2" t="s">
        <v>86</v>
      </c>
      <c r="Q474" s="2" t="s">
        <v>328</v>
      </c>
    </row>
    <row r="475" spans="1:17">
      <c r="A475" s="2" t="s">
        <v>747</v>
      </c>
      <c r="B475" s="2" t="str">
        <f>[1]Sheet1!M475</f>
        <v>男</v>
      </c>
      <c r="C475" s="3" t="str" cm="1">
        <f t="array" ref="C4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75" s="2" t="str">
        <f>MID([1]Sheet1!F475,FIND("(",[1]Sheet1!F475)+1,FIND("-",[1]Sheet1!F475)-FIND("(",[1]Sheet1!F475)-1)</f>
        <v>山东</v>
      </c>
      <c r="E475" s="2" t="str">
        <f>MID([1]Sheet1!F475,FIND("-",[1]Sheet1!F475)+1,FIND(")",[1]Sheet1!F475)-FIND("-",[1]Sheet1!F475)-1)</f>
        <v>济南</v>
      </c>
      <c r="F475" s="2" t="s">
        <v>70</v>
      </c>
      <c r="G475" s="2" t="s">
        <v>114</v>
      </c>
      <c r="H475" s="2" t="s">
        <v>55</v>
      </c>
      <c r="I475" s="2" t="s">
        <v>51</v>
      </c>
      <c r="J475" s="2" t="s">
        <v>56</v>
      </c>
      <c r="K475" s="2" t="s">
        <v>223</v>
      </c>
      <c r="L475" s="2" t="s">
        <v>24</v>
      </c>
      <c r="M475" s="2" t="s">
        <v>25</v>
      </c>
      <c r="N475" s="2" t="s">
        <v>37</v>
      </c>
      <c r="O475" s="2" t="s">
        <v>62</v>
      </c>
      <c r="P475" s="2" t="s">
        <v>28</v>
      </c>
      <c r="Q475" s="2" t="s">
        <v>144</v>
      </c>
    </row>
    <row r="476" spans="1:17">
      <c r="A476" s="2" t="s">
        <v>748</v>
      </c>
      <c r="B476" s="2" t="str">
        <f>[1]Sheet1!M476</f>
        <v>男</v>
      </c>
      <c r="C476" s="3" t="str" cm="1">
        <f t="array" ref="C4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76" s="2" t="str">
        <f>MID([1]Sheet1!F476,FIND("(",[1]Sheet1!F476)+1,FIND("-",[1]Sheet1!F476)-FIND("(",[1]Sheet1!F476)-1)</f>
        <v>贵州</v>
      </c>
      <c r="E476" s="2" t="str">
        <f>MID([1]Sheet1!F476,FIND("-",[1]Sheet1!F476)+1,FIND(")",[1]Sheet1!F476)-FIND("-",[1]Sheet1!F476)-1)</f>
        <v>铜仁</v>
      </c>
      <c r="F476" s="2" t="s">
        <v>18</v>
      </c>
      <c r="G476" s="2" t="s">
        <v>32</v>
      </c>
      <c r="H476" s="2" t="s">
        <v>55</v>
      </c>
      <c r="I476" s="2" t="s">
        <v>51</v>
      </c>
      <c r="J476" s="2" t="s">
        <v>56</v>
      </c>
      <c r="K476" s="2" t="s">
        <v>130</v>
      </c>
      <c r="L476" s="2" t="s">
        <v>83</v>
      </c>
      <c r="M476" s="2" t="s">
        <v>126</v>
      </c>
      <c r="N476" s="2" t="s">
        <v>26</v>
      </c>
      <c r="O476" s="2" t="s">
        <v>47</v>
      </c>
      <c r="P476" s="2" t="s">
        <v>39</v>
      </c>
      <c r="Q476" s="2" t="s">
        <v>749</v>
      </c>
    </row>
    <row r="477" spans="1:17">
      <c r="A477" s="2" t="s">
        <v>750</v>
      </c>
      <c r="B477" s="2" t="str">
        <f>[1]Sheet1!M477</f>
        <v>女</v>
      </c>
      <c r="C477" s="3" t="str" cm="1">
        <f t="array" ref="C4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477" s="2" t="str">
        <f>MID([1]Sheet1!F477,FIND("(",[1]Sheet1!F477)+1,FIND("-",[1]Sheet1!F477)-FIND("(",[1]Sheet1!F477)-1)</f>
        <v>浙江</v>
      </c>
      <c r="E477" s="2" t="str">
        <f>MID([1]Sheet1!F477,FIND("-",[1]Sheet1!F477)+1,FIND(")",[1]Sheet1!F477)-FIND("-",[1]Sheet1!F477)-1)</f>
        <v>丽水</v>
      </c>
      <c r="F477" s="2" t="s">
        <v>18</v>
      </c>
      <c r="G477" s="2" t="s">
        <v>162</v>
      </c>
      <c r="H477" s="2" t="s">
        <v>66</v>
      </c>
      <c r="I477" s="2" t="s">
        <v>21</v>
      </c>
      <c r="J477" s="2" t="s">
        <v>77</v>
      </c>
      <c r="K477" s="2" t="s">
        <v>121</v>
      </c>
      <c r="L477" s="2" t="s">
        <v>83</v>
      </c>
      <c r="M477" s="2" t="s">
        <v>57</v>
      </c>
      <c r="N477" s="2" t="s">
        <v>37</v>
      </c>
      <c r="O477" s="2" t="s">
        <v>106</v>
      </c>
      <c r="P477" s="2" t="s">
        <v>179</v>
      </c>
      <c r="Q477" s="2" t="s">
        <v>339</v>
      </c>
    </row>
    <row r="478" spans="1:17">
      <c r="A478" s="2" t="s">
        <v>751</v>
      </c>
      <c r="B478" s="2" t="str">
        <f>[1]Sheet1!M478</f>
        <v>男</v>
      </c>
      <c r="C478" s="3" t="str" cm="1">
        <f t="array" ref="C4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78" s="2" t="str">
        <f>MID([1]Sheet1!F478,FIND("(",[1]Sheet1!F478)+1,FIND("-",[1]Sheet1!F478)-FIND("(",[1]Sheet1!F478)-1)</f>
        <v>天津</v>
      </c>
      <c r="E478" s="2" t="str">
        <f>MID([1]Sheet1!F478,FIND("-",[1]Sheet1!F478)+1,FIND(")",[1]Sheet1!F478)-FIND("-",[1]Sheet1!F478)-1)</f>
        <v>天津</v>
      </c>
      <c r="F478" s="2" t="s">
        <v>70</v>
      </c>
      <c r="G478" s="2" t="s">
        <v>114</v>
      </c>
      <c r="H478" s="2" t="s">
        <v>20</v>
      </c>
      <c r="I478" s="2" t="s">
        <v>34</v>
      </c>
      <c r="J478" s="2" t="s">
        <v>44</v>
      </c>
      <c r="K478" s="2" t="s">
        <v>115</v>
      </c>
      <c r="L478" s="2" t="s">
        <v>24</v>
      </c>
      <c r="M478" s="2" t="s">
        <v>360</v>
      </c>
      <c r="N478" s="2" t="s">
        <v>85</v>
      </c>
      <c r="O478" s="2" t="s">
        <v>47</v>
      </c>
      <c r="P478" s="2" t="s">
        <v>39</v>
      </c>
      <c r="Q478" s="2" t="s">
        <v>752</v>
      </c>
    </row>
    <row r="479" spans="1:17">
      <c r="A479" s="2" t="s">
        <v>745</v>
      </c>
      <c r="B479" s="2" t="str">
        <f>[1]Sheet1!M479</f>
        <v>男</v>
      </c>
      <c r="C479" s="3" t="str" cm="1">
        <f t="array" ref="C4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79" s="2" t="str">
        <f>MID([1]Sheet1!F479,FIND("(",[1]Sheet1!F479)+1,FIND("-",[1]Sheet1!F479)-FIND("(",[1]Sheet1!F479)-1)</f>
        <v>广东</v>
      </c>
      <c r="E479" s="2" t="str">
        <f>MID([1]Sheet1!F479,FIND("-",[1]Sheet1!F479)+1,FIND(")",[1]Sheet1!F479)-FIND("-",[1]Sheet1!F479)-1)</f>
        <v>深圳</v>
      </c>
      <c r="F479" s="2" t="s">
        <v>42</v>
      </c>
      <c r="G479" s="2" t="s">
        <v>81</v>
      </c>
      <c r="H479" s="2" t="s">
        <v>66</v>
      </c>
      <c r="I479" s="2" t="s">
        <v>73</v>
      </c>
      <c r="J479" s="2" t="s">
        <v>22</v>
      </c>
      <c r="K479" s="2" t="s">
        <v>169</v>
      </c>
      <c r="L479" s="2" t="s">
        <v>24</v>
      </c>
      <c r="M479" s="2" t="s">
        <v>143</v>
      </c>
      <c r="N479" s="2" t="s">
        <v>37</v>
      </c>
      <c r="O479" s="2" t="s">
        <v>47</v>
      </c>
      <c r="P479" s="2" t="s">
        <v>28</v>
      </c>
      <c r="Q479" s="2" t="s">
        <v>144</v>
      </c>
    </row>
    <row r="480" spans="1:17">
      <c r="A480" s="2" t="s">
        <v>753</v>
      </c>
      <c r="B480" s="2" t="str">
        <f>[1]Sheet1!M480</f>
        <v>男</v>
      </c>
      <c r="C480" s="3" t="str" cm="1">
        <f t="array" ref="C4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80" s="2" t="str">
        <f>MID([1]Sheet1!F480,FIND("(",[1]Sheet1!F480)+1,FIND("-",[1]Sheet1!F480)-FIND("(",[1]Sheet1!F480)-1)</f>
        <v>重庆</v>
      </c>
      <c r="E480" s="2" t="str">
        <f>MID([1]Sheet1!F480,FIND("-",[1]Sheet1!F480)+1,FIND(")",[1]Sheet1!F480)-FIND("-",[1]Sheet1!F480)-1)</f>
        <v>重庆</v>
      </c>
      <c r="F480" s="2" t="s">
        <v>159</v>
      </c>
      <c r="G480" s="2" t="s">
        <v>50</v>
      </c>
      <c r="H480" s="2" t="s">
        <v>66</v>
      </c>
      <c r="I480" s="2" t="s">
        <v>51</v>
      </c>
      <c r="J480" s="2" t="s">
        <v>56</v>
      </c>
      <c r="K480" s="2" t="s">
        <v>117</v>
      </c>
      <c r="L480" s="2" t="s">
        <v>24</v>
      </c>
      <c r="M480" s="2" t="s">
        <v>25</v>
      </c>
      <c r="N480" s="2" t="s">
        <v>26</v>
      </c>
      <c r="O480" s="2" t="s">
        <v>187</v>
      </c>
      <c r="P480" s="2" t="s">
        <v>179</v>
      </c>
      <c r="Q480" s="2" t="s">
        <v>101</v>
      </c>
    </row>
    <row r="481" spans="1:17">
      <c r="A481" s="2" t="s">
        <v>754</v>
      </c>
      <c r="B481" s="2" t="str">
        <f>[1]Sheet1!M481</f>
        <v>男</v>
      </c>
      <c r="C481" s="3" t="str" cm="1">
        <f t="array" ref="C4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81" s="2" t="str">
        <f>MID([1]Sheet1!F481,FIND("(",[1]Sheet1!F481)+1,FIND("-",[1]Sheet1!F481)-FIND("(",[1]Sheet1!F481)-1)</f>
        <v>云南</v>
      </c>
      <c r="E481" s="2" t="str">
        <f>MID([1]Sheet1!F481,FIND("-",[1]Sheet1!F481)+1,FIND(")",[1]Sheet1!F481)-FIND("-",[1]Sheet1!F481)-1)</f>
        <v>曲靖</v>
      </c>
      <c r="F481" s="2" t="s">
        <v>18</v>
      </c>
      <c r="G481" s="2" t="s">
        <v>32</v>
      </c>
      <c r="H481" s="2" t="s">
        <v>66</v>
      </c>
      <c r="I481" s="2" t="s">
        <v>211</v>
      </c>
      <c r="J481" s="2" t="s">
        <v>82</v>
      </c>
      <c r="K481" s="2" t="s">
        <v>304</v>
      </c>
      <c r="L481" s="2" t="s">
        <v>24</v>
      </c>
      <c r="M481" s="2" t="s">
        <v>360</v>
      </c>
      <c r="N481" s="2" t="s">
        <v>85</v>
      </c>
      <c r="O481" s="2" t="s">
        <v>97</v>
      </c>
      <c r="P481" s="2" t="s">
        <v>28</v>
      </c>
      <c r="Q481" s="2" t="s">
        <v>29</v>
      </c>
    </row>
    <row r="482" spans="1:17">
      <c r="A482" s="2" t="s">
        <v>755</v>
      </c>
      <c r="B482" s="2" t="str">
        <f>[1]Sheet1!M482</f>
        <v>女</v>
      </c>
      <c r="C482" s="3" t="str" cm="1">
        <f t="array" ref="C4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82" s="2" t="str">
        <f>MID([1]Sheet1!F482,FIND("(",[1]Sheet1!F482)+1,FIND("-",[1]Sheet1!F482)-FIND("(",[1]Sheet1!F482)-1)</f>
        <v>天津</v>
      </c>
      <c r="E482" s="2" t="str">
        <f>MID([1]Sheet1!F482,FIND("-",[1]Sheet1!F482)+1,FIND(")",[1]Sheet1!F482)-FIND("-",[1]Sheet1!F482)-1)</f>
        <v>天津</v>
      </c>
      <c r="F482" s="2" t="s">
        <v>159</v>
      </c>
      <c r="G482" s="2" t="s">
        <v>32</v>
      </c>
      <c r="H482" s="2" t="s">
        <v>20</v>
      </c>
      <c r="I482" s="2" t="s">
        <v>120</v>
      </c>
      <c r="J482" s="2" t="s">
        <v>44</v>
      </c>
      <c r="K482" s="2" t="s">
        <v>137</v>
      </c>
      <c r="L482" s="2" t="s">
        <v>24</v>
      </c>
      <c r="M482" s="2" t="s">
        <v>111</v>
      </c>
      <c r="N482" s="2" t="s">
        <v>37</v>
      </c>
      <c r="O482" s="2" t="s">
        <v>27</v>
      </c>
      <c r="P482" s="2" t="s">
        <v>289</v>
      </c>
      <c r="Q482" s="2" t="s">
        <v>68</v>
      </c>
    </row>
    <row r="483" spans="1:17">
      <c r="A483" s="2" t="s">
        <v>756</v>
      </c>
      <c r="B483" s="2" t="str">
        <f>[1]Sheet1!M483</f>
        <v>男</v>
      </c>
      <c r="C483" s="3" t="str" cm="1">
        <f t="array" ref="C4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83" s="2" t="str">
        <f>MID([1]Sheet1!F483,FIND("(",[1]Sheet1!F483)+1,FIND("-",[1]Sheet1!F483)-FIND("(",[1]Sheet1!F483)-1)</f>
        <v>广东</v>
      </c>
      <c r="E483" s="2" t="str">
        <f>MID([1]Sheet1!F483,FIND("-",[1]Sheet1!F483)+1,FIND(")",[1]Sheet1!F483)-FIND("-",[1]Sheet1!F483)-1)</f>
        <v>东莞</v>
      </c>
      <c r="F483" s="2" t="s">
        <v>18</v>
      </c>
      <c r="G483" s="2" t="s">
        <v>19</v>
      </c>
      <c r="H483" s="2" t="s">
        <v>20</v>
      </c>
      <c r="I483" s="2" t="s">
        <v>34</v>
      </c>
      <c r="J483" s="2" t="s">
        <v>82</v>
      </c>
      <c r="K483" s="2" t="s">
        <v>130</v>
      </c>
      <c r="L483" s="2" t="s">
        <v>24</v>
      </c>
      <c r="M483" s="2" t="s">
        <v>126</v>
      </c>
      <c r="N483" s="2" t="s">
        <v>46</v>
      </c>
      <c r="O483" s="2" t="s">
        <v>47</v>
      </c>
      <c r="P483" s="2" t="s">
        <v>63</v>
      </c>
      <c r="Q483" s="2" t="s">
        <v>267</v>
      </c>
    </row>
    <row r="484" spans="1:17">
      <c r="A484" s="2" t="s">
        <v>757</v>
      </c>
      <c r="B484" s="2" t="str">
        <f>[1]Sheet1!M484</f>
        <v>男</v>
      </c>
      <c r="C484" s="3" t="str" cm="1">
        <f t="array" ref="C4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84" s="2" t="str">
        <f>MID([1]Sheet1!F484,FIND("(",[1]Sheet1!F484)+1,FIND("-",[1]Sheet1!F484)-FIND("(",[1]Sheet1!F484)-1)</f>
        <v>山东</v>
      </c>
      <c r="E484" s="2" t="str">
        <f>MID([1]Sheet1!F484,FIND("-",[1]Sheet1!F484)+1,FIND(")",[1]Sheet1!F484)-FIND("-",[1]Sheet1!F484)-1)</f>
        <v>济南</v>
      </c>
      <c r="F484" s="2" t="s">
        <v>42</v>
      </c>
      <c r="G484" s="2" t="s">
        <v>50</v>
      </c>
      <c r="H484" s="2" t="s">
        <v>33</v>
      </c>
      <c r="I484" s="2" t="s">
        <v>43</v>
      </c>
      <c r="J484" s="2" t="s">
        <v>82</v>
      </c>
      <c r="K484" s="2" t="s">
        <v>125</v>
      </c>
      <c r="L484" s="2" t="s">
        <v>24</v>
      </c>
      <c r="M484" s="2" t="s">
        <v>36</v>
      </c>
      <c r="N484" s="2" t="s">
        <v>37</v>
      </c>
      <c r="O484" s="2" t="s">
        <v>256</v>
      </c>
      <c r="P484" s="2" t="s">
        <v>39</v>
      </c>
      <c r="Q484" s="2" t="s">
        <v>40</v>
      </c>
    </row>
    <row r="485" spans="1:17">
      <c r="A485" s="2" t="s">
        <v>758</v>
      </c>
      <c r="B485" s="2" t="str">
        <f>[1]Sheet1!M485</f>
        <v>男</v>
      </c>
      <c r="C485" s="3" t="str" cm="1">
        <f t="array" ref="C4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85" s="2" t="str">
        <f>MID([1]Sheet1!F485,FIND("(",[1]Sheet1!F485)+1,FIND("-",[1]Sheet1!F485)-FIND("(",[1]Sheet1!F485)-1)</f>
        <v>广东</v>
      </c>
      <c r="E485" s="2" t="str">
        <f>MID([1]Sheet1!F485,FIND("-",[1]Sheet1!F485)+1,FIND(")",[1]Sheet1!F485)-FIND("-",[1]Sheet1!F485)-1)</f>
        <v>惠州</v>
      </c>
      <c r="F485" s="2" t="s">
        <v>31</v>
      </c>
      <c r="G485" s="2" t="s">
        <v>50</v>
      </c>
      <c r="H485" s="2" t="s">
        <v>66</v>
      </c>
      <c r="I485" s="2" t="s">
        <v>43</v>
      </c>
      <c r="J485" s="2" t="s">
        <v>82</v>
      </c>
      <c r="K485" s="2" t="s">
        <v>121</v>
      </c>
      <c r="L485" s="2" t="s">
        <v>24</v>
      </c>
      <c r="M485" s="2" t="s">
        <v>78</v>
      </c>
      <c r="N485" s="2" t="s">
        <v>37</v>
      </c>
      <c r="O485" s="2" t="s">
        <v>47</v>
      </c>
      <c r="P485" s="2" t="s">
        <v>218</v>
      </c>
      <c r="Q485" s="2" t="s">
        <v>310</v>
      </c>
    </row>
    <row r="486" spans="1:17">
      <c r="A486" s="2" t="s">
        <v>759</v>
      </c>
      <c r="B486" s="2" t="str">
        <f>[1]Sheet1!M486</f>
        <v>男</v>
      </c>
      <c r="C486" s="3" t="str" cm="1">
        <f t="array" ref="C4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86" s="2" t="str">
        <f>MID([1]Sheet1!F486,FIND("(",[1]Sheet1!F486)+1,FIND("-",[1]Sheet1!F486)-FIND("(",[1]Sheet1!F486)-1)</f>
        <v>河北</v>
      </c>
      <c r="E486" s="2" t="str">
        <f>MID([1]Sheet1!F486,FIND("-",[1]Sheet1!F486)+1,FIND(")",[1]Sheet1!F486)-FIND("-",[1]Sheet1!F486)-1)</f>
        <v>保定</v>
      </c>
      <c r="F486" s="2" t="s">
        <v>70</v>
      </c>
      <c r="G486" s="2" t="s">
        <v>114</v>
      </c>
      <c r="H486" s="2" t="s">
        <v>66</v>
      </c>
      <c r="I486" s="2" t="s">
        <v>51</v>
      </c>
      <c r="J486" s="2" t="s">
        <v>96</v>
      </c>
      <c r="K486" s="2" t="s">
        <v>130</v>
      </c>
      <c r="L486" s="2" t="s">
        <v>24</v>
      </c>
      <c r="M486" s="2" t="s">
        <v>57</v>
      </c>
      <c r="N486" s="2" t="s">
        <v>37</v>
      </c>
      <c r="O486" s="2" t="s">
        <v>406</v>
      </c>
      <c r="P486" s="2" t="s">
        <v>86</v>
      </c>
      <c r="Q486" s="2" t="s">
        <v>160</v>
      </c>
    </row>
    <row r="487" spans="1:17">
      <c r="A487" s="2" t="s">
        <v>760</v>
      </c>
      <c r="B487" s="2" t="str">
        <f>[1]Sheet1!M487</f>
        <v>男</v>
      </c>
      <c r="C487" s="3" t="str" cm="1">
        <f t="array" ref="C4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87" s="2" t="str">
        <f>MID([1]Sheet1!F487,FIND("(",[1]Sheet1!F487)+1,FIND("-",[1]Sheet1!F487)-FIND("(",[1]Sheet1!F487)-1)</f>
        <v>广东</v>
      </c>
      <c r="E487" s="2" t="str">
        <f>MID([1]Sheet1!F487,FIND("-",[1]Sheet1!F487)+1,FIND(")",[1]Sheet1!F487)-FIND("-",[1]Sheet1!F487)-1)</f>
        <v>深圳</v>
      </c>
      <c r="F487" s="2" t="s">
        <v>70</v>
      </c>
      <c r="G487" s="2" t="s">
        <v>114</v>
      </c>
      <c r="H487" s="2" t="s">
        <v>66</v>
      </c>
      <c r="I487" s="2" t="s">
        <v>34</v>
      </c>
      <c r="J487" s="2" t="s">
        <v>96</v>
      </c>
      <c r="K487" s="2" t="s">
        <v>169</v>
      </c>
      <c r="L487" s="2" t="s">
        <v>83</v>
      </c>
      <c r="M487" s="2" t="s">
        <v>57</v>
      </c>
      <c r="N487" s="2" t="s">
        <v>37</v>
      </c>
      <c r="O487" s="2" t="s">
        <v>27</v>
      </c>
      <c r="P487" s="2" t="s">
        <v>39</v>
      </c>
      <c r="Q487" s="2" t="s">
        <v>761</v>
      </c>
    </row>
    <row r="488" spans="1:17">
      <c r="A488" s="2" t="s">
        <v>762</v>
      </c>
      <c r="B488" s="2" t="str">
        <f>[1]Sheet1!M488</f>
        <v>男</v>
      </c>
      <c r="C488" s="3" t="str" cm="1">
        <f t="array" ref="C4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88" s="2" t="str">
        <f>MID([1]Sheet1!F488,FIND("(",[1]Sheet1!F488)+1,FIND("-",[1]Sheet1!F488)-FIND("(",[1]Sheet1!F488)-1)</f>
        <v>天津</v>
      </c>
      <c r="E488" s="2" t="str">
        <f>MID([1]Sheet1!F488,FIND("-",[1]Sheet1!F488)+1,FIND(")",[1]Sheet1!F488)-FIND("-",[1]Sheet1!F488)-1)</f>
        <v>天津</v>
      </c>
      <c r="F488" s="2" t="s">
        <v>31</v>
      </c>
      <c r="G488" s="2" t="s">
        <v>32</v>
      </c>
      <c r="H488" s="2" t="s">
        <v>20</v>
      </c>
      <c r="I488" s="2" t="s">
        <v>51</v>
      </c>
      <c r="J488" s="2" t="s">
        <v>77</v>
      </c>
      <c r="K488" s="2" t="s">
        <v>117</v>
      </c>
      <c r="L488" s="2" t="s">
        <v>24</v>
      </c>
      <c r="M488" s="2" t="s">
        <v>25</v>
      </c>
      <c r="N488" s="2" t="s">
        <v>46</v>
      </c>
      <c r="O488" s="2" t="s">
        <v>47</v>
      </c>
      <c r="P488" s="2" t="s">
        <v>59</v>
      </c>
      <c r="Q488" s="2" t="s">
        <v>103</v>
      </c>
    </row>
    <row r="489" spans="1:17">
      <c r="A489" s="2" t="s">
        <v>763</v>
      </c>
      <c r="B489" s="2" t="str">
        <f>[1]Sheet1!M489</f>
        <v>男</v>
      </c>
      <c r="C489" s="3" t="str" cm="1">
        <f t="array" ref="C4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89" s="2" t="str">
        <f>MID([1]Sheet1!F489,FIND("(",[1]Sheet1!F489)+1,FIND("-",[1]Sheet1!F489)-FIND("(",[1]Sheet1!F489)-1)</f>
        <v>山西</v>
      </c>
      <c r="E489" s="2" t="str">
        <f>MID([1]Sheet1!F489,FIND("-",[1]Sheet1!F489)+1,FIND(")",[1]Sheet1!F489)-FIND("-",[1]Sheet1!F489)-1)</f>
        <v>运城</v>
      </c>
      <c r="F489" s="2" t="s">
        <v>88</v>
      </c>
      <c r="G489" s="2" t="s">
        <v>32</v>
      </c>
      <c r="H489" s="2" t="s">
        <v>66</v>
      </c>
      <c r="I489" s="2" t="s">
        <v>21</v>
      </c>
      <c r="J489" s="2" t="s">
        <v>77</v>
      </c>
      <c r="K489" s="2" t="s">
        <v>130</v>
      </c>
      <c r="L489" s="2" t="s">
        <v>24</v>
      </c>
      <c r="M489" s="2" t="s">
        <v>45</v>
      </c>
      <c r="N489" s="2" t="s">
        <v>37</v>
      </c>
      <c r="O489" s="2" t="s">
        <v>27</v>
      </c>
      <c r="P489" s="2" t="s">
        <v>59</v>
      </c>
      <c r="Q489" s="2" t="s">
        <v>133</v>
      </c>
    </row>
    <row r="490" spans="1:17">
      <c r="A490" s="2" t="s">
        <v>764</v>
      </c>
      <c r="B490" s="2" t="str">
        <f>[1]Sheet1!M490</f>
        <v>男</v>
      </c>
      <c r="C490" s="3" t="str" cm="1">
        <f t="array" ref="C4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90" s="2" t="str">
        <f>MID([1]Sheet1!F490,FIND("(",[1]Sheet1!F490)+1,FIND("-",[1]Sheet1!F490)-FIND("(",[1]Sheet1!F490)-1)</f>
        <v>山西</v>
      </c>
      <c r="E490" s="2" t="str">
        <f>MID([1]Sheet1!F490,FIND("-",[1]Sheet1!F490)+1,FIND(")",[1]Sheet1!F490)-FIND("-",[1]Sheet1!F490)-1)</f>
        <v>朔州</v>
      </c>
      <c r="F490" s="2" t="s">
        <v>18</v>
      </c>
      <c r="G490" s="2" t="s">
        <v>50</v>
      </c>
      <c r="H490" s="2" t="s">
        <v>66</v>
      </c>
      <c r="I490" s="2" t="s">
        <v>21</v>
      </c>
      <c r="J490" s="2" t="s">
        <v>77</v>
      </c>
      <c r="K490" s="2" t="s">
        <v>117</v>
      </c>
      <c r="L490" s="2" t="s">
        <v>24</v>
      </c>
      <c r="M490" s="2" t="s">
        <v>36</v>
      </c>
      <c r="N490" s="2" t="s">
        <v>37</v>
      </c>
      <c r="O490" s="2" t="s">
        <v>47</v>
      </c>
      <c r="P490" s="2" t="s">
        <v>512</v>
      </c>
      <c r="Q490" s="2" t="s">
        <v>60</v>
      </c>
    </row>
    <row r="491" spans="1:17">
      <c r="A491" s="2" t="s">
        <v>765</v>
      </c>
      <c r="B491" s="2" t="str">
        <f>[1]Sheet1!M491</f>
        <v>女</v>
      </c>
      <c r="C491" s="3" t="str" cm="1">
        <f t="array" ref="C4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91" s="2" t="str">
        <f>MID([1]Sheet1!F491,FIND("(",[1]Sheet1!F491)+1,FIND("-",[1]Sheet1!F491)-FIND("(",[1]Sheet1!F491)-1)</f>
        <v>山西</v>
      </c>
      <c r="E491" s="2" t="str">
        <f>MID([1]Sheet1!F491,FIND("-",[1]Sheet1!F491)+1,FIND(")",[1]Sheet1!F491)-FIND("-",[1]Sheet1!F491)-1)</f>
        <v>临汾</v>
      </c>
      <c r="F491" s="2" t="s">
        <v>42</v>
      </c>
      <c r="G491" s="2" t="s">
        <v>32</v>
      </c>
      <c r="H491" s="2" t="s">
        <v>66</v>
      </c>
      <c r="I491" s="2" t="s">
        <v>21</v>
      </c>
      <c r="J491" s="2" t="s">
        <v>82</v>
      </c>
      <c r="K491" s="2" t="s">
        <v>307</v>
      </c>
      <c r="L491" s="2" t="s">
        <v>24</v>
      </c>
      <c r="M491" s="2" t="s">
        <v>36</v>
      </c>
      <c r="N491" s="2" t="s">
        <v>37</v>
      </c>
      <c r="O491" s="2" t="s">
        <v>573</v>
      </c>
      <c r="P491" s="2" t="s">
        <v>59</v>
      </c>
      <c r="Q491" s="2" t="s">
        <v>259</v>
      </c>
    </row>
    <row r="492" spans="1:17">
      <c r="A492" s="2" t="s">
        <v>766</v>
      </c>
      <c r="B492" s="2" t="str">
        <f>[1]Sheet1!M492</f>
        <v>男</v>
      </c>
      <c r="C492" s="3" t="str" cm="1">
        <f t="array" ref="C4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492" s="2" t="str">
        <f>MID([1]Sheet1!F492,FIND("(",[1]Sheet1!F492)+1,FIND("-",[1]Sheet1!F492)-FIND("(",[1]Sheet1!F492)-1)</f>
        <v>河南</v>
      </c>
      <c r="E492" s="2" t="str">
        <f>MID([1]Sheet1!F492,FIND("-",[1]Sheet1!F492)+1,FIND(")",[1]Sheet1!F492)-FIND("-",[1]Sheet1!F492)-1)</f>
        <v>许昌</v>
      </c>
      <c r="F492" s="2" t="s">
        <v>159</v>
      </c>
      <c r="G492" s="2" t="s">
        <v>19</v>
      </c>
      <c r="H492" s="2" t="s">
        <v>66</v>
      </c>
      <c r="I492" s="2" t="s">
        <v>120</v>
      </c>
      <c r="J492" s="2" t="s">
        <v>22</v>
      </c>
      <c r="K492" s="2" t="s">
        <v>212</v>
      </c>
      <c r="L492" s="2" t="s">
        <v>24</v>
      </c>
      <c r="M492" s="2" t="s">
        <v>36</v>
      </c>
      <c r="N492" s="2" t="s">
        <v>26</v>
      </c>
      <c r="O492" s="2" t="s">
        <v>47</v>
      </c>
      <c r="P492" s="2" t="s">
        <v>39</v>
      </c>
      <c r="Q492" s="2" t="s">
        <v>29</v>
      </c>
    </row>
    <row r="493" spans="1:17">
      <c r="A493" s="2" t="s">
        <v>767</v>
      </c>
      <c r="B493" s="2" t="str">
        <f>[1]Sheet1!M493</f>
        <v>男</v>
      </c>
      <c r="C493" s="3" t="str" cm="1">
        <f t="array" ref="C4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93" s="2" t="str">
        <f>MID([1]Sheet1!F493,FIND("(",[1]Sheet1!F493)+1,FIND("-",[1]Sheet1!F493)-FIND("(",[1]Sheet1!F493)-1)</f>
        <v>重庆</v>
      </c>
      <c r="E493" s="2" t="str">
        <f>MID([1]Sheet1!F493,FIND("-",[1]Sheet1!F493)+1,FIND(")",[1]Sheet1!F493)-FIND("-",[1]Sheet1!F493)-1)</f>
        <v>重庆</v>
      </c>
      <c r="F493" s="2" t="s">
        <v>88</v>
      </c>
      <c r="G493" s="2" t="s">
        <v>19</v>
      </c>
      <c r="H493" s="2" t="s">
        <v>20</v>
      </c>
      <c r="I493" s="2" t="s">
        <v>51</v>
      </c>
      <c r="J493" s="2" t="s">
        <v>82</v>
      </c>
      <c r="K493" s="2" t="s">
        <v>117</v>
      </c>
      <c r="L493" s="2" t="s">
        <v>24</v>
      </c>
      <c r="M493" s="2" t="s">
        <v>36</v>
      </c>
      <c r="N493" s="2" t="s">
        <v>85</v>
      </c>
      <c r="O493" s="2" t="s">
        <v>47</v>
      </c>
      <c r="P493" s="2" t="s">
        <v>179</v>
      </c>
      <c r="Q493" s="2" t="s">
        <v>269</v>
      </c>
    </row>
    <row r="494" spans="1:17">
      <c r="A494" s="2" t="s">
        <v>768</v>
      </c>
      <c r="B494" s="2" t="str">
        <f>[1]Sheet1!M494</f>
        <v>男</v>
      </c>
      <c r="C494" s="3" t="str" cm="1">
        <f t="array" ref="C4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94" s="2" t="str">
        <f>MID([1]Sheet1!F494,FIND("(",[1]Sheet1!F494)+1,FIND("-",[1]Sheet1!F494)-FIND("(",[1]Sheet1!F494)-1)</f>
        <v>江西</v>
      </c>
      <c r="E494" s="2" t="str">
        <f>MID([1]Sheet1!F494,FIND("-",[1]Sheet1!F494)+1,FIND(")",[1]Sheet1!F494)-FIND("-",[1]Sheet1!F494)-1)</f>
        <v>南昌</v>
      </c>
      <c r="F494" s="2" t="s">
        <v>42</v>
      </c>
      <c r="G494" s="2" t="s">
        <v>50</v>
      </c>
      <c r="H494" s="2" t="s">
        <v>66</v>
      </c>
      <c r="I494" s="2" t="s">
        <v>34</v>
      </c>
      <c r="J494" s="2" t="s">
        <v>82</v>
      </c>
      <c r="K494" s="2" t="s">
        <v>130</v>
      </c>
      <c r="L494" s="2" t="s">
        <v>24</v>
      </c>
      <c r="M494" s="2" t="s">
        <v>57</v>
      </c>
      <c r="N494" s="2" t="s">
        <v>37</v>
      </c>
      <c r="O494" s="2" t="s">
        <v>122</v>
      </c>
      <c r="P494" s="2" t="s">
        <v>39</v>
      </c>
      <c r="Q494" s="2" t="s">
        <v>40</v>
      </c>
    </row>
    <row r="495" spans="1:17">
      <c r="A495" s="2" t="s">
        <v>769</v>
      </c>
      <c r="B495" s="2" t="str">
        <f>[1]Sheet1!M495</f>
        <v>男</v>
      </c>
      <c r="C495" s="3" t="str" cm="1">
        <f t="array" ref="C4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495" s="2" t="str">
        <f>MID([1]Sheet1!F495,FIND("(",[1]Sheet1!F495)+1,FIND("-",[1]Sheet1!F495)-FIND("(",[1]Sheet1!F495)-1)</f>
        <v>广东</v>
      </c>
      <c r="E495" s="2" t="str">
        <f>MID([1]Sheet1!F495,FIND("-",[1]Sheet1!F495)+1,FIND(")",[1]Sheet1!F495)-FIND("-",[1]Sheet1!F495)-1)</f>
        <v>佛山</v>
      </c>
      <c r="F495" s="2" t="s">
        <v>18</v>
      </c>
      <c r="G495" s="2" t="s">
        <v>50</v>
      </c>
      <c r="H495" s="2" t="s">
        <v>66</v>
      </c>
      <c r="I495" s="2" t="s">
        <v>120</v>
      </c>
      <c r="J495" s="2" t="s">
        <v>22</v>
      </c>
      <c r="K495" s="2" t="s">
        <v>130</v>
      </c>
      <c r="L495" s="2" t="s">
        <v>24</v>
      </c>
      <c r="M495" s="2" t="s">
        <v>126</v>
      </c>
      <c r="N495" s="2" t="s">
        <v>37</v>
      </c>
      <c r="O495" s="2" t="s">
        <v>58</v>
      </c>
      <c r="P495" s="2" t="s">
        <v>63</v>
      </c>
      <c r="Q495" s="2" t="s">
        <v>596</v>
      </c>
    </row>
    <row r="496" spans="1:17">
      <c r="A496" s="2" t="s">
        <v>770</v>
      </c>
      <c r="B496" s="2" t="str">
        <f>[1]Sheet1!M496</f>
        <v>女</v>
      </c>
      <c r="C496" s="3" t="str" cm="1">
        <f t="array" ref="C4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496" s="2" t="str">
        <f>MID([1]Sheet1!F496,FIND("(",[1]Sheet1!F496)+1,FIND("-",[1]Sheet1!F496)-FIND("(",[1]Sheet1!F496)-1)</f>
        <v>重庆</v>
      </c>
      <c r="E496" s="2" t="str">
        <f>MID([1]Sheet1!F496,FIND("-",[1]Sheet1!F496)+1,FIND(")",[1]Sheet1!F496)-FIND("-",[1]Sheet1!F496)-1)</f>
        <v>重庆</v>
      </c>
      <c r="F496" s="2" t="s">
        <v>42</v>
      </c>
      <c r="G496" s="2" t="s">
        <v>50</v>
      </c>
      <c r="H496" s="2" t="s">
        <v>66</v>
      </c>
      <c r="I496" s="2" t="s">
        <v>51</v>
      </c>
      <c r="J496" s="2" t="s">
        <v>77</v>
      </c>
      <c r="K496" s="2" t="s">
        <v>121</v>
      </c>
      <c r="L496" s="2" t="s">
        <v>24</v>
      </c>
      <c r="M496" s="2" t="s">
        <v>78</v>
      </c>
      <c r="N496" s="2" t="s">
        <v>37</v>
      </c>
      <c r="O496" s="2" t="s">
        <v>58</v>
      </c>
      <c r="P496" s="2" t="s">
        <v>86</v>
      </c>
      <c r="Q496" s="2" t="s">
        <v>60</v>
      </c>
    </row>
    <row r="497" spans="1:17">
      <c r="A497" s="2" t="s">
        <v>771</v>
      </c>
      <c r="B497" s="2" t="str">
        <f>[1]Sheet1!M497</f>
        <v>男</v>
      </c>
      <c r="C497" s="3" t="str" cm="1">
        <f t="array" ref="C4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497" s="2" t="str">
        <f>MID([1]Sheet1!F497,FIND("(",[1]Sheet1!F497)+1,FIND("-",[1]Sheet1!F497)-FIND("(",[1]Sheet1!F497)-1)</f>
        <v>天津</v>
      </c>
      <c r="E497" s="2" t="str">
        <f>MID([1]Sheet1!F497,FIND("-",[1]Sheet1!F497)+1,FIND(")",[1]Sheet1!F497)-FIND("-",[1]Sheet1!F497)-1)</f>
        <v>天津</v>
      </c>
      <c r="F497" s="2" t="s">
        <v>42</v>
      </c>
      <c r="G497" s="2" t="s">
        <v>50</v>
      </c>
      <c r="H497" s="2" t="s">
        <v>20</v>
      </c>
      <c r="I497" s="2" t="s">
        <v>21</v>
      </c>
      <c r="J497" s="2" t="s">
        <v>22</v>
      </c>
      <c r="K497" s="2" t="s">
        <v>130</v>
      </c>
      <c r="L497" s="2" t="s">
        <v>24</v>
      </c>
      <c r="M497" s="2" t="s">
        <v>67</v>
      </c>
      <c r="N497" s="2" t="s">
        <v>46</v>
      </c>
      <c r="O497" s="2" t="s">
        <v>295</v>
      </c>
      <c r="P497" s="2" t="s">
        <v>39</v>
      </c>
      <c r="Q497" s="2" t="s">
        <v>275</v>
      </c>
    </row>
    <row r="498" spans="1:17">
      <c r="A498" s="2" t="s">
        <v>772</v>
      </c>
      <c r="B498" s="2" t="str">
        <f>[1]Sheet1!M498</f>
        <v>男</v>
      </c>
      <c r="C498" s="3" t="str" cm="1">
        <f t="array" ref="C4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98" s="2" t="str">
        <f>MID([1]Sheet1!F498,FIND("(",[1]Sheet1!F498)+1,FIND("-",[1]Sheet1!F498)-FIND("(",[1]Sheet1!F498)-1)</f>
        <v>湖南</v>
      </c>
      <c r="E498" s="2" t="str">
        <f>MID([1]Sheet1!F498,FIND("-",[1]Sheet1!F498)+1,FIND(")",[1]Sheet1!F498)-FIND("-",[1]Sheet1!F498)-1)</f>
        <v>郴州</v>
      </c>
      <c r="F498" s="2" t="s">
        <v>88</v>
      </c>
      <c r="G498" s="2" t="s">
        <v>32</v>
      </c>
      <c r="H498" s="2" t="s">
        <v>66</v>
      </c>
      <c r="I498" s="2" t="s">
        <v>43</v>
      </c>
      <c r="J498" s="2" t="s">
        <v>96</v>
      </c>
      <c r="K498" s="2" t="s">
        <v>773</v>
      </c>
      <c r="L498" s="2" t="s">
        <v>83</v>
      </c>
      <c r="M498" s="2" t="s">
        <v>36</v>
      </c>
      <c r="N498" s="2" t="s">
        <v>37</v>
      </c>
      <c r="O498" s="2" t="s">
        <v>478</v>
      </c>
      <c r="P498" s="2" t="s">
        <v>86</v>
      </c>
      <c r="Q498" s="2" t="s">
        <v>774</v>
      </c>
    </row>
    <row r="499" spans="1:17">
      <c r="A499" s="2" t="s">
        <v>775</v>
      </c>
      <c r="B499" s="2" t="str">
        <f>[1]Sheet1!M499</f>
        <v>男</v>
      </c>
      <c r="C499" s="3" t="str" cm="1">
        <f t="array" ref="C4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499)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499" s="2" t="str">
        <f>MID([1]Sheet1!F499,FIND("(",[1]Sheet1!F499)+1,FIND("-",[1]Sheet1!F499)-FIND("(",[1]Sheet1!F499)-1)</f>
        <v>安徽</v>
      </c>
      <c r="E499" s="2" t="str">
        <f>MID([1]Sheet1!F499,FIND("-",[1]Sheet1!F499)+1,FIND(")",[1]Sheet1!F499)-FIND("-",[1]Sheet1!F499)-1)</f>
        <v>合肥</v>
      </c>
      <c r="F499" s="2" t="s">
        <v>18</v>
      </c>
      <c r="G499" s="2" t="s">
        <v>50</v>
      </c>
      <c r="H499" s="2" t="s">
        <v>33</v>
      </c>
      <c r="I499" s="2" t="s">
        <v>43</v>
      </c>
      <c r="J499" s="2" t="s">
        <v>44</v>
      </c>
      <c r="K499" s="2" t="s">
        <v>117</v>
      </c>
      <c r="L499" s="2" t="s">
        <v>24</v>
      </c>
      <c r="M499" s="2" t="s">
        <v>716</v>
      </c>
      <c r="N499" s="2" t="s">
        <v>26</v>
      </c>
      <c r="O499" s="2" t="s">
        <v>47</v>
      </c>
      <c r="P499" s="2" t="s">
        <v>39</v>
      </c>
      <c r="Q499" s="2" t="s">
        <v>150</v>
      </c>
    </row>
    <row r="500" spans="1:17">
      <c r="A500" s="2" t="s">
        <v>776</v>
      </c>
      <c r="B500" s="2" t="str">
        <f>[1]Sheet1!M500</f>
        <v>女</v>
      </c>
      <c r="C500" s="3" t="str" cm="1">
        <f t="array" ref="C5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00" s="2" t="str">
        <f>MID([1]Sheet1!F500,FIND("(",[1]Sheet1!F500)+1,FIND("-",[1]Sheet1!F500)-FIND("(",[1]Sheet1!F500)-1)</f>
        <v>广西</v>
      </c>
      <c r="E500" s="2" t="str">
        <f>MID([1]Sheet1!F500,FIND("-",[1]Sheet1!F500)+1,FIND(")",[1]Sheet1!F500)-FIND("-",[1]Sheet1!F500)-1)</f>
        <v>柳州</v>
      </c>
      <c r="F500" s="2" t="s">
        <v>18</v>
      </c>
      <c r="G500" s="2" t="s">
        <v>19</v>
      </c>
      <c r="H500" s="2" t="s">
        <v>66</v>
      </c>
      <c r="I500" s="2" t="s">
        <v>51</v>
      </c>
      <c r="J500" s="2" t="s">
        <v>22</v>
      </c>
      <c r="K500" s="2" t="s">
        <v>117</v>
      </c>
      <c r="L500" s="2" t="s">
        <v>24</v>
      </c>
      <c r="M500" s="2" t="s">
        <v>36</v>
      </c>
      <c r="N500" s="2" t="s">
        <v>37</v>
      </c>
      <c r="O500" s="2" t="s">
        <v>47</v>
      </c>
      <c r="P500" s="2" t="s">
        <v>28</v>
      </c>
      <c r="Q500" s="2" t="s">
        <v>267</v>
      </c>
    </row>
    <row r="501" spans="1:17">
      <c r="A501" s="2" t="s">
        <v>767</v>
      </c>
      <c r="B501" s="2" t="str">
        <f>[1]Sheet1!M501</f>
        <v>男</v>
      </c>
      <c r="C501" s="3" t="str" cm="1">
        <f t="array" ref="C5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01" s="2" t="str">
        <f>MID([1]Sheet1!F501,FIND("(",[1]Sheet1!F501)+1,FIND("-",[1]Sheet1!F501)-FIND("(",[1]Sheet1!F501)-1)</f>
        <v>重庆</v>
      </c>
      <c r="E501" s="2" t="str">
        <f>MID([1]Sheet1!F501,FIND("-",[1]Sheet1!F501)+1,FIND(")",[1]Sheet1!F501)-FIND("-",[1]Sheet1!F501)-1)</f>
        <v>重庆</v>
      </c>
      <c r="F501" s="2" t="s">
        <v>88</v>
      </c>
      <c r="G501" s="2" t="s">
        <v>19</v>
      </c>
      <c r="H501" s="2" t="s">
        <v>20</v>
      </c>
      <c r="I501" s="2" t="s">
        <v>51</v>
      </c>
      <c r="J501" s="2" t="s">
        <v>82</v>
      </c>
      <c r="K501" s="2" t="s">
        <v>117</v>
      </c>
      <c r="L501" s="2" t="s">
        <v>24</v>
      </c>
      <c r="M501" s="2" t="s">
        <v>36</v>
      </c>
      <c r="N501" s="2" t="s">
        <v>85</v>
      </c>
      <c r="O501" s="2" t="s">
        <v>199</v>
      </c>
      <c r="P501" s="2" t="s">
        <v>28</v>
      </c>
      <c r="Q501" s="2" t="s">
        <v>777</v>
      </c>
    </row>
    <row r="502" spans="1:17">
      <c r="A502" s="2" t="s">
        <v>778</v>
      </c>
      <c r="B502" s="2" t="str">
        <f>[1]Sheet1!M502</f>
        <v>男</v>
      </c>
      <c r="C502" s="3" t="str" cm="1">
        <f t="array" ref="C5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02" s="2" t="str">
        <f>MID([1]Sheet1!F502,FIND("(",[1]Sheet1!F502)+1,FIND("-",[1]Sheet1!F502)-FIND("(",[1]Sheet1!F502)-1)</f>
        <v>山东</v>
      </c>
      <c r="E502" s="2" t="str">
        <f>MID([1]Sheet1!F502,FIND("-",[1]Sheet1!F502)+1,FIND(")",[1]Sheet1!F502)-FIND("-",[1]Sheet1!F502)-1)</f>
        <v>济南</v>
      </c>
      <c r="F502" s="2" t="s">
        <v>159</v>
      </c>
      <c r="G502" s="2" t="s">
        <v>114</v>
      </c>
      <c r="H502" s="2" t="s">
        <v>66</v>
      </c>
      <c r="I502" s="2" t="s">
        <v>21</v>
      </c>
      <c r="J502" s="2" t="s">
        <v>82</v>
      </c>
      <c r="K502" s="2" t="s">
        <v>130</v>
      </c>
      <c r="L502" s="2" t="s">
        <v>24</v>
      </c>
      <c r="M502" s="2" t="s">
        <v>71</v>
      </c>
      <c r="N502" s="2" t="s">
        <v>37</v>
      </c>
      <c r="O502" s="2" t="s">
        <v>58</v>
      </c>
      <c r="P502" s="2" t="s">
        <v>39</v>
      </c>
      <c r="Q502" s="2" t="s">
        <v>481</v>
      </c>
    </row>
    <row r="503" spans="1:17">
      <c r="A503" s="2" t="s">
        <v>779</v>
      </c>
      <c r="B503" s="2" t="str">
        <f>[1]Sheet1!M503</f>
        <v>男</v>
      </c>
      <c r="C503" s="3" t="str" cm="1">
        <f t="array" ref="C5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03" s="2" t="str">
        <f>MID([1]Sheet1!F503,FIND("(",[1]Sheet1!F503)+1,FIND("-",[1]Sheet1!F503)-FIND("(",[1]Sheet1!F503)-1)</f>
        <v>陕西</v>
      </c>
      <c r="E503" s="2" t="str">
        <f>MID([1]Sheet1!F503,FIND("-",[1]Sheet1!F503)+1,FIND(")",[1]Sheet1!F503)-FIND("-",[1]Sheet1!F503)-1)</f>
        <v>榆林</v>
      </c>
      <c r="F503" s="2" t="s">
        <v>159</v>
      </c>
      <c r="G503" s="2" t="s">
        <v>50</v>
      </c>
      <c r="H503" s="2" t="s">
        <v>20</v>
      </c>
      <c r="I503" s="2" t="s">
        <v>43</v>
      </c>
      <c r="J503" s="2" t="s">
        <v>82</v>
      </c>
      <c r="K503" s="2" t="s">
        <v>121</v>
      </c>
      <c r="L503" s="2" t="s">
        <v>24</v>
      </c>
      <c r="M503" s="2" t="s">
        <v>36</v>
      </c>
      <c r="N503" s="2" t="s">
        <v>105</v>
      </c>
      <c r="O503" s="2" t="s">
        <v>58</v>
      </c>
      <c r="P503" s="2" t="s">
        <v>86</v>
      </c>
      <c r="Q503" s="2" t="s">
        <v>144</v>
      </c>
    </row>
    <row r="504" spans="1:17">
      <c r="A504" s="2" t="s">
        <v>780</v>
      </c>
      <c r="B504" s="2" t="str">
        <f>[1]Sheet1!M504</f>
        <v>男</v>
      </c>
      <c r="C504" s="3" t="str" cm="1">
        <f t="array" ref="C5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04" s="2" t="str">
        <f>MID([1]Sheet1!F504,FIND("(",[1]Sheet1!F504)+1,FIND("-",[1]Sheet1!F504)-FIND("(",[1]Sheet1!F504)-1)</f>
        <v>湖南</v>
      </c>
      <c r="E504" s="2" t="str">
        <f>MID([1]Sheet1!F504,FIND("-",[1]Sheet1!F504)+1,FIND(")",[1]Sheet1!F504)-FIND("-",[1]Sheet1!F504)-1)</f>
        <v>湘潭</v>
      </c>
      <c r="F504" s="2" t="s">
        <v>42</v>
      </c>
      <c r="G504" s="2" t="s">
        <v>19</v>
      </c>
      <c r="H504" s="2" t="s">
        <v>66</v>
      </c>
      <c r="I504" s="2" t="s">
        <v>73</v>
      </c>
      <c r="J504" s="2" t="s">
        <v>96</v>
      </c>
      <c r="K504" s="2" t="s">
        <v>117</v>
      </c>
      <c r="L504" s="2" t="s">
        <v>24</v>
      </c>
      <c r="M504" s="2" t="s">
        <v>71</v>
      </c>
      <c r="N504" s="2" t="s">
        <v>37</v>
      </c>
      <c r="O504" s="2" t="s">
        <v>47</v>
      </c>
      <c r="P504" s="2" t="s">
        <v>28</v>
      </c>
      <c r="Q504" s="2" t="s">
        <v>200</v>
      </c>
    </row>
    <row r="505" spans="1:17">
      <c r="A505" s="2" t="s">
        <v>781</v>
      </c>
      <c r="B505" s="2" t="str">
        <f>[1]Sheet1!M505</f>
        <v>男</v>
      </c>
      <c r="C505" s="3" t="str" cm="1">
        <f t="array" ref="C5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05" s="2" t="str">
        <f>MID([1]Sheet1!F505,FIND("(",[1]Sheet1!F505)+1,FIND("-",[1]Sheet1!F505)-FIND("(",[1]Sheet1!F505)-1)</f>
        <v>重庆</v>
      </c>
      <c r="E505" s="2" t="str">
        <f>MID([1]Sheet1!F505,FIND("-",[1]Sheet1!F505)+1,FIND(")",[1]Sheet1!F505)-FIND("-",[1]Sheet1!F505)-1)</f>
        <v>重庆</v>
      </c>
      <c r="F505" s="2" t="s">
        <v>31</v>
      </c>
      <c r="G505" s="2" t="s">
        <v>50</v>
      </c>
      <c r="H505" s="2" t="s">
        <v>20</v>
      </c>
      <c r="I505" s="2" t="s">
        <v>73</v>
      </c>
      <c r="J505" s="2" t="s">
        <v>82</v>
      </c>
      <c r="K505" s="2" t="s">
        <v>121</v>
      </c>
      <c r="L505" s="2" t="s">
        <v>24</v>
      </c>
      <c r="M505" s="2" t="s">
        <v>78</v>
      </c>
      <c r="N505" s="2" t="s">
        <v>37</v>
      </c>
      <c r="O505" s="2" t="s">
        <v>178</v>
      </c>
      <c r="P505" s="2" t="s">
        <v>39</v>
      </c>
      <c r="Q505" s="2" t="s">
        <v>75</v>
      </c>
    </row>
    <row r="506" spans="1:17">
      <c r="A506" s="2" t="s">
        <v>782</v>
      </c>
      <c r="B506" s="2" t="str">
        <f>[1]Sheet1!M506</f>
        <v>男</v>
      </c>
      <c r="C506" s="3" t="str" cm="1">
        <f t="array" ref="C5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06" s="2" t="str">
        <f>MID([1]Sheet1!F506,FIND("(",[1]Sheet1!F506)+1,FIND("-",[1]Sheet1!F506)-FIND("(",[1]Sheet1!F506)-1)</f>
        <v>广东</v>
      </c>
      <c r="E506" s="2" t="str">
        <f>MID([1]Sheet1!F506,FIND("-",[1]Sheet1!F506)+1,FIND(")",[1]Sheet1!F506)-FIND("-",[1]Sheet1!F506)-1)</f>
        <v>茂名</v>
      </c>
      <c r="F506" s="2" t="s">
        <v>159</v>
      </c>
      <c r="G506" s="2" t="s">
        <v>81</v>
      </c>
      <c r="H506" s="2" t="s">
        <v>66</v>
      </c>
      <c r="I506" s="2" t="s">
        <v>43</v>
      </c>
      <c r="J506" s="2" t="s">
        <v>56</v>
      </c>
      <c r="K506" s="2" t="s">
        <v>117</v>
      </c>
      <c r="L506" s="2" t="s">
        <v>24</v>
      </c>
      <c r="M506" s="2" t="s">
        <v>143</v>
      </c>
      <c r="N506" s="2" t="s">
        <v>46</v>
      </c>
      <c r="O506" s="2" t="s">
        <v>235</v>
      </c>
      <c r="P506" s="2" t="s">
        <v>86</v>
      </c>
      <c r="Q506" s="2" t="s">
        <v>183</v>
      </c>
    </row>
    <row r="507" spans="1:17">
      <c r="A507" s="2" t="s">
        <v>783</v>
      </c>
      <c r="B507" s="2" t="str">
        <f>[1]Sheet1!M507</f>
        <v>男</v>
      </c>
      <c r="C507" s="3" t="str" cm="1">
        <f t="array" ref="C5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07" s="2" t="str">
        <f>MID([1]Sheet1!F507,FIND("(",[1]Sheet1!F507)+1,FIND("-",[1]Sheet1!F507)-FIND("(",[1]Sheet1!F507)-1)</f>
        <v>海南</v>
      </c>
      <c r="E507" s="2" t="str">
        <f>MID([1]Sheet1!F507,FIND("-",[1]Sheet1!F507)+1,FIND(")",[1]Sheet1!F507)-FIND("-",[1]Sheet1!F507)-1)</f>
        <v>海口</v>
      </c>
      <c r="F507" s="2" t="s">
        <v>18</v>
      </c>
      <c r="G507" s="2" t="s">
        <v>50</v>
      </c>
      <c r="H507" s="2" t="s">
        <v>20</v>
      </c>
      <c r="I507" s="2" t="s">
        <v>21</v>
      </c>
      <c r="J507" s="2" t="s">
        <v>96</v>
      </c>
      <c r="K507" s="2" t="s">
        <v>240</v>
      </c>
      <c r="L507" s="2" t="s">
        <v>24</v>
      </c>
      <c r="M507" s="2" t="s">
        <v>143</v>
      </c>
      <c r="N507" s="2" t="s">
        <v>37</v>
      </c>
      <c r="O507" s="2" t="s">
        <v>89</v>
      </c>
      <c r="P507" s="2" t="s">
        <v>59</v>
      </c>
      <c r="Q507" s="2" t="s">
        <v>48</v>
      </c>
    </row>
    <row r="508" spans="1:17">
      <c r="A508" s="2" t="s">
        <v>784</v>
      </c>
      <c r="B508" s="2" t="str">
        <f>[1]Sheet1!M508</f>
        <v>男</v>
      </c>
      <c r="C508" s="3" t="str" cm="1">
        <f t="array" ref="C5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08" s="2" t="str">
        <f>MID([1]Sheet1!F508,FIND("(",[1]Sheet1!F508)+1,FIND("-",[1]Sheet1!F508)-FIND("(",[1]Sheet1!F508)-1)</f>
        <v>广东</v>
      </c>
      <c r="E508" s="2" t="str">
        <f>MID([1]Sheet1!F508,FIND("-",[1]Sheet1!F508)+1,FIND(")",[1]Sheet1!F508)-FIND("-",[1]Sheet1!F508)-1)</f>
        <v>广州</v>
      </c>
      <c r="F508" s="2" t="s">
        <v>18</v>
      </c>
      <c r="G508" s="2" t="s">
        <v>50</v>
      </c>
      <c r="H508" s="2" t="s">
        <v>66</v>
      </c>
      <c r="I508" s="2" t="s">
        <v>120</v>
      </c>
      <c r="J508" s="2" t="s">
        <v>82</v>
      </c>
      <c r="K508" s="2" t="s">
        <v>117</v>
      </c>
      <c r="L508" s="2" t="s">
        <v>24</v>
      </c>
      <c r="M508" s="2" t="s">
        <v>36</v>
      </c>
      <c r="N508" s="2" t="s">
        <v>37</v>
      </c>
      <c r="O508" s="2" t="s">
        <v>47</v>
      </c>
      <c r="P508" s="2" t="s">
        <v>63</v>
      </c>
      <c r="Q508" s="2" t="s">
        <v>101</v>
      </c>
    </row>
    <row r="509" spans="1:17">
      <c r="A509" s="2" t="s">
        <v>785</v>
      </c>
      <c r="B509" s="2" t="str">
        <f>[1]Sheet1!M509</f>
        <v>男</v>
      </c>
      <c r="C509" s="3" t="str" cm="1">
        <f t="array" ref="C5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09" s="2" t="str">
        <f>MID([1]Sheet1!F509,FIND("(",[1]Sheet1!F509)+1,FIND("-",[1]Sheet1!F509)-FIND("(",[1]Sheet1!F509)-1)</f>
        <v>重庆</v>
      </c>
      <c r="E509" s="2" t="str">
        <f>MID([1]Sheet1!F509,FIND("-",[1]Sheet1!F509)+1,FIND(")",[1]Sheet1!F509)-FIND("-",[1]Sheet1!F509)-1)</f>
        <v>重庆</v>
      </c>
      <c r="F509" s="2" t="s">
        <v>70</v>
      </c>
      <c r="G509" s="2" t="s">
        <v>81</v>
      </c>
      <c r="H509" s="2" t="s">
        <v>20</v>
      </c>
      <c r="I509" s="2" t="s">
        <v>120</v>
      </c>
      <c r="J509" s="2" t="s">
        <v>44</v>
      </c>
      <c r="K509" s="2" t="s">
        <v>117</v>
      </c>
      <c r="L509" s="2" t="s">
        <v>24</v>
      </c>
      <c r="M509" s="2" t="s">
        <v>126</v>
      </c>
      <c r="N509" s="2" t="s">
        <v>37</v>
      </c>
      <c r="O509" s="2" t="s">
        <v>27</v>
      </c>
      <c r="P509" s="2" t="s">
        <v>63</v>
      </c>
      <c r="Q509" s="2" t="s">
        <v>786</v>
      </c>
    </row>
    <row r="510" spans="1:17">
      <c r="A510" s="2" t="s">
        <v>787</v>
      </c>
      <c r="B510" s="2" t="str">
        <f>[1]Sheet1!M510</f>
        <v>男</v>
      </c>
      <c r="C510" s="3" t="str" cm="1">
        <f t="array" ref="C5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10" s="2" t="str">
        <f>MID([1]Sheet1!F510,FIND("(",[1]Sheet1!F510)+1,FIND("-",[1]Sheet1!F510)-FIND("(",[1]Sheet1!F510)-1)</f>
        <v>重庆</v>
      </c>
      <c r="E510" s="2" t="str">
        <f>MID([1]Sheet1!F510,FIND("-",[1]Sheet1!F510)+1,FIND(")",[1]Sheet1!F510)-FIND("-",[1]Sheet1!F510)-1)</f>
        <v>重庆</v>
      </c>
      <c r="F510" s="2" t="s">
        <v>42</v>
      </c>
      <c r="G510" s="2" t="s">
        <v>32</v>
      </c>
      <c r="H510" s="2" t="s">
        <v>66</v>
      </c>
      <c r="I510" s="2" t="s">
        <v>34</v>
      </c>
      <c r="J510" s="2" t="s">
        <v>82</v>
      </c>
      <c r="K510" s="2" t="s">
        <v>130</v>
      </c>
      <c r="L510" s="2" t="s">
        <v>24</v>
      </c>
      <c r="M510" s="2" t="s">
        <v>36</v>
      </c>
      <c r="N510" s="2" t="s">
        <v>46</v>
      </c>
      <c r="O510" s="2" t="s">
        <v>74</v>
      </c>
      <c r="P510" s="2" t="s">
        <v>28</v>
      </c>
      <c r="Q510" s="2" t="s">
        <v>48</v>
      </c>
    </row>
    <row r="511" spans="1:17">
      <c r="A511" s="2" t="s">
        <v>788</v>
      </c>
      <c r="B511" s="2" t="str">
        <f>[1]Sheet1!M511</f>
        <v>男</v>
      </c>
      <c r="C511" s="3" t="str" cm="1">
        <f t="array" ref="C5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11" s="2" t="str">
        <f>MID([1]Sheet1!F511,FIND("(",[1]Sheet1!F511)+1,FIND("-",[1]Sheet1!F511)-FIND("(",[1]Sheet1!F511)-1)</f>
        <v>江西</v>
      </c>
      <c r="E511" s="2" t="str">
        <f>MID([1]Sheet1!F511,FIND("-",[1]Sheet1!F511)+1,FIND(")",[1]Sheet1!F511)-FIND("-",[1]Sheet1!F511)-1)</f>
        <v>南昌</v>
      </c>
      <c r="F511" s="2" t="s">
        <v>42</v>
      </c>
      <c r="G511" s="2" t="s">
        <v>81</v>
      </c>
      <c r="H511" s="2" t="s">
        <v>20</v>
      </c>
      <c r="I511" s="2" t="s">
        <v>73</v>
      </c>
      <c r="J511" s="2" t="s">
        <v>44</v>
      </c>
      <c r="K511" s="2" t="s">
        <v>121</v>
      </c>
      <c r="L511" s="2" t="s">
        <v>24</v>
      </c>
      <c r="M511" s="2" t="s">
        <v>78</v>
      </c>
      <c r="N511" s="2" t="s">
        <v>37</v>
      </c>
      <c r="O511" s="2" t="s">
        <v>47</v>
      </c>
      <c r="P511" s="2" t="s">
        <v>218</v>
      </c>
      <c r="Q511" s="2" t="s">
        <v>789</v>
      </c>
    </row>
    <row r="512" spans="1:17">
      <c r="A512" s="2" t="s">
        <v>790</v>
      </c>
      <c r="B512" s="2" t="str">
        <f>[1]Sheet1!M512</f>
        <v>男</v>
      </c>
      <c r="C512" s="3" t="str" cm="1">
        <f t="array" ref="C5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12" s="2" t="str">
        <f>MID([1]Sheet1!F512,FIND("(",[1]Sheet1!F512)+1,FIND("-",[1]Sheet1!F512)-FIND("(",[1]Sheet1!F512)-1)</f>
        <v>湖北</v>
      </c>
      <c r="E512" s="2" t="str">
        <f>MID([1]Sheet1!F512,FIND("-",[1]Sheet1!F512)+1,FIND(")",[1]Sheet1!F512)-FIND("-",[1]Sheet1!F512)-1)</f>
        <v>武汉</v>
      </c>
      <c r="F512" s="2" t="s">
        <v>159</v>
      </c>
      <c r="G512" s="2" t="s">
        <v>19</v>
      </c>
      <c r="H512" s="2" t="s">
        <v>66</v>
      </c>
      <c r="I512" s="2" t="s">
        <v>43</v>
      </c>
      <c r="J512" s="2" t="s">
        <v>82</v>
      </c>
      <c r="K512" s="2" t="s">
        <v>115</v>
      </c>
      <c r="L512" s="2" t="s">
        <v>24</v>
      </c>
      <c r="M512" s="2" t="s">
        <v>36</v>
      </c>
      <c r="N512" s="2" t="s">
        <v>37</v>
      </c>
      <c r="O512" s="2" t="s">
        <v>47</v>
      </c>
      <c r="P512" s="2" t="s">
        <v>28</v>
      </c>
      <c r="Q512" s="2" t="s">
        <v>206</v>
      </c>
    </row>
    <row r="513" spans="1:17">
      <c r="A513" s="2" t="s">
        <v>791</v>
      </c>
      <c r="B513" s="2" t="str">
        <f>[1]Sheet1!M513</f>
        <v>女</v>
      </c>
      <c r="C513" s="3" t="str" cm="1">
        <f t="array" ref="C5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13" s="2" t="str">
        <f>MID([1]Sheet1!F513,FIND("(",[1]Sheet1!F513)+1,FIND("-",[1]Sheet1!F513)-FIND("(",[1]Sheet1!F513)-1)</f>
        <v>重庆</v>
      </c>
      <c r="E513" s="2" t="str">
        <f>MID([1]Sheet1!F513,FIND("-",[1]Sheet1!F513)+1,FIND(")",[1]Sheet1!F513)-FIND("-",[1]Sheet1!F513)-1)</f>
        <v>重庆</v>
      </c>
      <c r="F513" s="2" t="s">
        <v>18</v>
      </c>
      <c r="G513" s="2" t="s">
        <v>50</v>
      </c>
      <c r="H513" s="2" t="s">
        <v>66</v>
      </c>
      <c r="I513" s="2" t="s">
        <v>21</v>
      </c>
      <c r="J513" s="2" t="s">
        <v>22</v>
      </c>
      <c r="K513" s="2" t="s">
        <v>115</v>
      </c>
      <c r="L513" s="2" t="s">
        <v>24</v>
      </c>
      <c r="M513" s="2" t="s">
        <v>25</v>
      </c>
      <c r="N513" s="2" t="s">
        <v>37</v>
      </c>
      <c r="O513" s="2" t="s">
        <v>47</v>
      </c>
      <c r="P513" s="2" t="s">
        <v>179</v>
      </c>
      <c r="Q513" s="2" t="s">
        <v>75</v>
      </c>
    </row>
    <row r="514" spans="1:17">
      <c r="A514" s="2" t="s">
        <v>792</v>
      </c>
      <c r="B514" s="2" t="str">
        <f>[1]Sheet1!M514</f>
        <v>男</v>
      </c>
      <c r="C514" s="3" t="str" cm="1">
        <f t="array" ref="C5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14" s="2" t="str">
        <f>MID([1]Sheet1!F514,FIND("(",[1]Sheet1!F514)+1,FIND("-",[1]Sheet1!F514)-FIND("(",[1]Sheet1!F514)-1)</f>
        <v>广东</v>
      </c>
      <c r="E514" s="2" t="str">
        <f>MID([1]Sheet1!F514,FIND("-",[1]Sheet1!F514)+1,FIND(")",[1]Sheet1!F514)-FIND("-",[1]Sheet1!F514)-1)</f>
        <v>广州</v>
      </c>
      <c r="F514" s="2" t="s">
        <v>18</v>
      </c>
      <c r="G514" s="2" t="s">
        <v>32</v>
      </c>
      <c r="H514" s="2" t="s">
        <v>20</v>
      </c>
      <c r="I514" s="2" t="s">
        <v>21</v>
      </c>
      <c r="J514" s="2" t="s">
        <v>82</v>
      </c>
      <c r="K514" s="2" t="s">
        <v>117</v>
      </c>
      <c r="L514" s="2" t="s">
        <v>24</v>
      </c>
      <c r="M514" s="2" t="s">
        <v>36</v>
      </c>
      <c r="N514" s="2" t="s">
        <v>37</v>
      </c>
      <c r="O514" s="2" t="s">
        <v>58</v>
      </c>
      <c r="P514" s="2" t="s">
        <v>86</v>
      </c>
      <c r="Q514" s="2" t="s">
        <v>133</v>
      </c>
    </row>
    <row r="515" spans="1:17">
      <c r="A515" s="2" t="s">
        <v>793</v>
      </c>
      <c r="B515" s="2" t="str">
        <f>[1]Sheet1!M515</f>
        <v>男</v>
      </c>
      <c r="C515" s="3" t="str" cm="1">
        <f t="array" ref="C5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15" s="2" t="str">
        <f>MID([1]Sheet1!F515,FIND("(",[1]Sheet1!F515)+1,FIND("-",[1]Sheet1!F515)-FIND("(",[1]Sheet1!F515)-1)</f>
        <v>江苏</v>
      </c>
      <c r="E515" s="2" t="str">
        <f>MID([1]Sheet1!F515,FIND("-",[1]Sheet1!F515)+1,FIND(")",[1]Sheet1!F515)-FIND("-",[1]Sheet1!F515)-1)</f>
        <v>南京</v>
      </c>
      <c r="F515" s="2" t="s">
        <v>159</v>
      </c>
      <c r="G515" s="2" t="s">
        <v>32</v>
      </c>
      <c r="H515" s="2" t="s">
        <v>20</v>
      </c>
      <c r="I515" s="2" t="s">
        <v>120</v>
      </c>
      <c r="J515" s="2" t="s">
        <v>96</v>
      </c>
      <c r="K515" s="2" t="s">
        <v>169</v>
      </c>
      <c r="L515" s="2" t="s">
        <v>24</v>
      </c>
      <c r="M515" s="2" t="s">
        <v>36</v>
      </c>
      <c r="N515" s="2" t="s">
        <v>37</v>
      </c>
      <c r="O515" s="2" t="s">
        <v>58</v>
      </c>
      <c r="P515" s="2" t="s">
        <v>28</v>
      </c>
      <c r="Q515" s="2" t="s">
        <v>356</v>
      </c>
    </row>
    <row r="516" spans="1:17">
      <c r="A516" s="2" t="s">
        <v>794</v>
      </c>
      <c r="B516" s="2" t="str">
        <f>[1]Sheet1!M516</f>
        <v>男</v>
      </c>
      <c r="C516" s="3" t="str" cm="1">
        <f t="array" ref="C5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516" s="2" t="str">
        <f>MID([1]Sheet1!F516,FIND("(",[1]Sheet1!F516)+1,FIND("-",[1]Sheet1!F516)-FIND("(",[1]Sheet1!F516)-1)</f>
        <v>内蒙古</v>
      </c>
      <c r="E516" s="2" t="str">
        <f>MID([1]Sheet1!F516,FIND("-",[1]Sheet1!F516)+1,FIND(")",[1]Sheet1!F516)-FIND("-",[1]Sheet1!F516)-1)</f>
        <v>鄂尔多斯</v>
      </c>
      <c r="F516" s="2" t="s">
        <v>31</v>
      </c>
      <c r="G516" s="2" t="s">
        <v>50</v>
      </c>
      <c r="H516" s="2" t="s">
        <v>66</v>
      </c>
      <c r="I516" s="2" t="s">
        <v>43</v>
      </c>
      <c r="J516" s="2" t="s">
        <v>82</v>
      </c>
      <c r="K516" s="2" t="s">
        <v>169</v>
      </c>
      <c r="L516" s="2" t="s">
        <v>24</v>
      </c>
      <c r="M516" s="2" t="s">
        <v>143</v>
      </c>
      <c r="N516" s="2" t="s">
        <v>37</v>
      </c>
      <c r="O516" s="2" t="s">
        <v>27</v>
      </c>
      <c r="P516" s="2" t="s">
        <v>86</v>
      </c>
      <c r="Q516" s="2" t="s">
        <v>183</v>
      </c>
    </row>
    <row r="517" spans="1:17">
      <c r="A517" s="2" t="s">
        <v>795</v>
      </c>
      <c r="B517" s="2" t="str">
        <f>[1]Sheet1!M517</f>
        <v>男</v>
      </c>
      <c r="C517" s="3" t="str" cm="1">
        <f t="array" ref="C5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17" s="2" t="str">
        <f>MID([1]Sheet1!F517,FIND("(",[1]Sheet1!F517)+1,FIND("-",[1]Sheet1!F517)-FIND("(",[1]Sheet1!F517)-1)</f>
        <v>青海</v>
      </c>
      <c r="E517" s="2" t="str">
        <f>MID([1]Sheet1!F517,FIND("-",[1]Sheet1!F517)+1,FIND(")",[1]Sheet1!F517)-FIND("-",[1]Sheet1!F517)-1)</f>
        <v>西宁</v>
      </c>
      <c r="F517" s="2" t="s">
        <v>42</v>
      </c>
      <c r="G517" s="2" t="s">
        <v>81</v>
      </c>
      <c r="H517" s="2" t="s">
        <v>66</v>
      </c>
      <c r="I517" s="2" t="s">
        <v>51</v>
      </c>
      <c r="J517" s="2" t="s">
        <v>22</v>
      </c>
      <c r="K517" s="2" t="s">
        <v>117</v>
      </c>
      <c r="L517" s="2" t="s">
        <v>24</v>
      </c>
      <c r="M517" s="2" t="s">
        <v>143</v>
      </c>
      <c r="N517" s="2" t="s">
        <v>37</v>
      </c>
      <c r="O517" s="2" t="s">
        <v>422</v>
      </c>
      <c r="P517" s="2" t="s">
        <v>86</v>
      </c>
      <c r="Q517" s="2" t="s">
        <v>259</v>
      </c>
    </row>
    <row r="518" spans="1:17">
      <c r="A518" s="2" t="s">
        <v>796</v>
      </c>
      <c r="B518" s="2" t="str">
        <f>[1]Sheet1!M518</f>
        <v>男</v>
      </c>
      <c r="C518" s="3" t="str" cm="1">
        <f t="array" ref="C5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518" s="2" t="str">
        <f>MID([1]Sheet1!F518,FIND("(",[1]Sheet1!F518)+1,FIND("-",[1]Sheet1!F518)-FIND("(",[1]Sheet1!F518)-1)</f>
        <v>香港</v>
      </c>
      <c r="E518" s="2" t="str">
        <f>MID([1]Sheet1!F518,FIND("-",[1]Sheet1!F518)+1,FIND(")",[1]Sheet1!F518)-FIND("-",[1]Sheet1!F518)-1)</f>
        <v>未知</v>
      </c>
      <c r="F518" s="2" t="s">
        <v>88</v>
      </c>
      <c r="G518" s="2" t="s">
        <v>162</v>
      </c>
      <c r="H518" s="2" t="s">
        <v>33</v>
      </c>
      <c r="I518" s="2" t="s">
        <v>211</v>
      </c>
      <c r="J518" s="2" t="s">
        <v>77</v>
      </c>
      <c r="K518" s="2" t="s">
        <v>169</v>
      </c>
      <c r="L518" s="2" t="s">
        <v>83</v>
      </c>
      <c r="M518" s="2" t="s">
        <v>126</v>
      </c>
      <c r="N518" s="2" t="s">
        <v>85</v>
      </c>
      <c r="O518" s="2" t="s">
        <v>122</v>
      </c>
      <c r="P518" s="2" t="s">
        <v>39</v>
      </c>
      <c r="Q518" s="2" t="s">
        <v>714</v>
      </c>
    </row>
    <row r="519" spans="1:17">
      <c r="A519" s="2" t="s">
        <v>797</v>
      </c>
      <c r="B519" s="2" t="str">
        <f>[1]Sheet1!M519</f>
        <v>女</v>
      </c>
      <c r="C519" s="3" t="str" cm="1">
        <f t="array" ref="C5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19" s="2" t="str">
        <f>MID([1]Sheet1!F519,FIND("(",[1]Sheet1!F519)+1,FIND("-",[1]Sheet1!F519)-FIND("(",[1]Sheet1!F519)-1)</f>
        <v>广西</v>
      </c>
      <c r="E519" s="2" t="str">
        <f>MID([1]Sheet1!F519,FIND("-",[1]Sheet1!F519)+1,FIND(")",[1]Sheet1!F519)-FIND("-",[1]Sheet1!F519)-1)</f>
        <v>柳州</v>
      </c>
      <c r="F519" s="2" t="s">
        <v>42</v>
      </c>
      <c r="G519" s="2" t="s">
        <v>32</v>
      </c>
      <c r="H519" s="2" t="s">
        <v>66</v>
      </c>
      <c r="I519" s="2" t="s">
        <v>120</v>
      </c>
      <c r="J519" s="2" t="s">
        <v>56</v>
      </c>
      <c r="K519" s="2" t="s">
        <v>117</v>
      </c>
      <c r="L519" s="2" t="s">
        <v>83</v>
      </c>
      <c r="M519" s="2" t="s">
        <v>78</v>
      </c>
      <c r="N519" s="2" t="s">
        <v>26</v>
      </c>
      <c r="O519" s="2" t="s">
        <v>47</v>
      </c>
      <c r="P519" s="2" t="s">
        <v>28</v>
      </c>
      <c r="Q519" s="2" t="s">
        <v>183</v>
      </c>
    </row>
    <row r="520" spans="1:17">
      <c r="A520" s="2" t="s">
        <v>798</v>
      </c>
      <c r="B520" s="2" t="str">
        <f>[1]Sheet1!M520</f>
        <v>男</v>
      </c>
      <c r="C520" s="3" t="str" cm="1">
        <f t="array" ref="C5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20" s="2" t="str">
        <f>MID([1]Sheet1!F520,FIND("(",[1]Sheet1!F520)+1,FIND("-",[1]Sheet1!F520)-FIND("(",[1]Sheet1!F520)-1)</f>
        <v>福建</v>
      </c>
      <c r="E520" s="2" t="str">
        <f>MID([1]Sheet1!F520,FIND("-",[1]Sheet1!F520)+1,FIND(")",[1]Sheet1!F520)-FIND("-",[1]Sheet1!F520)-1)</f>
        <v>泉州</v>
      </c>
      <c r="F520" s="2" t="s">
        <v>42</v>
      </c>
      <c r="G520" s="2" t="s">
        <v>50</v>
      </c>
      <c r="H520" s="2" t="s">
        <v>33</v>
      </c>
      <c r="I520" s="2" t="s">
        <v>51</v>
      </c>
      <c r="J520" s="2" t="s">
        <v>82</v>
      </c>
      <c r="K520" s="2" t="s">
        <v>137</v>
      </c>
      <c r="L520" s="2" t="s">
        <v>24</v>
      </c>
      <c r="M520" s="2" t="s">
        <v>126</v>
      </c>
      <c r="N520" s="2" t="s">
        <v>46</v>
      </c>
      <c r="O520" s="2" t="s">
        <v>58</v>
      </c>
      <c r="P520" s="2" t="s">
        <v>179</v>
      </c>
      <c r="Q520" s="2" t="s">
        <v>48</v>
      </c>
    </row>
    <row r="521" spans="1:17">
      <c r="A521" s="2" t="s">
        <v>799</v>
      </c>
      <c r="B521" s="2" t="str">
        <f>[1]Sheet1!M521</f>
        <v>男</v>
      </c>
      <c r="C521" s="3" t="str" cm="1">
        <f t="array" ref="C5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21" s="2" t="str">
        <f>MID([1]Sheet1!F521,FIND("(",[1]Sheet1!F521)+1,FIND("-",[1]Sheet1!F521)-FIND("(",[1]Sheet1!F521)-1)</f>
        <v>湖南</v>
      </c>
      <c r="E521" s="2" t="str">
        <f>MID([1]Sheet1!F521,FIND("-",[1]Sheet1!F521)+1,FIND(")",[1]Sheet1!F521)-FIND("-",[1]Sheet1!F521)-1)</f>
        <v>长沙</v>
      </c>
      <c r="F521" s="2" t="s">
        <v>70</v>
      </c>
      <c r="G521" s="2" t="s">
        <v>50</v>
      </c>
      <c r="H521" s="2" t="s">
        <v>20</v>
      </c>
      <c r="I521" s="2" t="s">
        <v>51</v>
      </c>
      <c r="J521" s="2" t="s">
        <v>77</v>
      </c>
      <c r="K521" s="2" t="s">
        <v>117</v>
      </c>
      <c r="L521" s="2" t="s">
        <v>24</v>
      </c>
      <c r="M521" s="2" t="s">
        <v>126</v>
      </c>
      <c r="N521" s="2" t="s">
        <v>85</v>
      </c>
      <c r="O521" s="2" t="s">
        <v>58</v>
      </c>
      <c r="P521" s="2" t="s">
        <v>28</v>
      </c>
      <c r="Q521" s="2" t="s">
        <v>261</v>
      </c>
    </row>
    <row r="522" spans="1:17">
      <c r="A522" s="2" t="s">
        <v>800</v>
      </c>
      <c r="B522" s="2" t="str">
        <f>[1]Sheet1!M522</f>
        <v>男</v>
      </c>
      <c r="C522" s="3" t="str" cm="1">
        <f t="array" ref="C5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22" s="2" t="str">
        <f>MID([1]Sheet1!F522,FIND("(",[1]Sheet1!F522)+1,FIND("-",[1]Sheet1!F522)-FIND("(",[1]Sheet1!F522)-1)</f>
        <v>重庆</v>
      </c>
      <c r="E522" s="2" t="str">
        <f>MID([1]Sheet1!F522,FIND("-",[1]Sheet1!F522)+1,FIND(")",[1]Sheet1!F522)-FIND("-",[1]Sheet1!F522)-1)</f>
        <v>重庆</v>
      </c>
      <c r="F522" s="2" t="s">
        <v>31</v>
      </c>
      <c r="G522" s="2" t="s">
        <v>81</v>
      </c>
      <c r="H522" s="2" t="s">
        <v>20</v>
      </c>
      <c r="I522" s="2" t="s">
        <v>51</v>
      </c>
      <c r="J522" s="2" t="s">
        <v>96</v>
      </c>
      <c r="K522" s="2" t="s">
        <v>130</v>
      </c>
      <c r="L522" s="2" t="s">
        <v>24</v>
      </c>
      <c r="M522" s="2" t="s">
        <v>143</v>
      </c>
      <c r="N522" s="2" t="s">
        <v>26</v>
      </c>
      <c r="O522" s="2" t="s">
        <v>511</v>
      </c>
      <c r="P522" s="2" t="s">
        <v>39</v>
      </c>
      <c r="Q522" s="2" t="s">
        <v>200</v>
      </c>
    </row>
    <row r="523" spans="1:17">
      <c r="A523" s="2" t="s">
        <v>801</v>
      </c>
      <c r="B523" s="2" t="str">
        <f>[1]Sheet1!M523</f>
        <v>男</v>
      </c>
      <c r="C523" s="3" t="str" cm="1">
        <f t="array" ref="C5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23" s="2" t="str">
        <f>MID([1]Sheet1!F523,FIND("(",[1]Sheet1!F523)+1,FIND("-",[1]Sheet1!F523)-FIND("(",[1]Sheet1!F523)-1)</f>
        <v>河南</v>
      </c>
      <c r="E523" s="2" t="str">
        <f>MID([1]Sheet1!F523,FIND("-",[1]Sheet1!F523)+1,FIND(")",[1]Sheet1!F523)-FIND("-",[1]Sheet1!F523)-1)</f>
        <v>洛阳</v>
      </c>
      <c r="F523" s="2" t="s">
        <v>42</v>
      </c>
      <c r="G523" s="2" t="s">
        <v>50</v>
      </c>
      <c r="H523" s="2" t="s">
        <v>33</v>
      </c>
      <c r="I523" s="2" t="s">
        <v>21</v>
      </c>
      <c r="J523" s="2" t="s">
        <v>77</v>
      </c>
      <c r="K523" s="2" t="s">
        <v>117</v>
      </c>
      <c r="L523" s="2" t="s">
        <v>24</v>
      </c>
      <c r="M523" s="2" t="s">
        <v>143</v>
      </c>
      <c r="N523" s="2" t="s">
        <v>46</v>
      </c>
      <c r="O523" s="2" t="s">
        <v>58</v>
      </c>
      <c r="P523" s="2" t="s">
        <v>289</v>
      </c>
      <c r="Q523" s="2" t="s">
        <v>133</v>
      </c>
    </row>
    <row r="524" spans="1:17">
      <c r="A524" s="2" t="s">
        <v>802</v>
      </c>
      <c r="B524" s="2" t="str">
        <f>[1]Sheet1!M524</f>
        <v>女</v>
      </c>
      <c r="C524" s="3" t="str" cm="1">
        <f t="array" ref="C5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24" s="2" t="str">
        <f>MID([1]Sheet1!F524,FIND("(",[1]Sheet1!F524)+1,FIND("-",[1]Sheet1!F524)-FIND("(",[1]Sheet1!F524)-1)</f>
        <v>陕西</v>
      </c>
      <c r="E524" s="2" t="str">
        <f>MID([1]Sheet1!F524,FIND("-",[1]Sheet1!F524)+1,FIND(")",[1]Sheet1!F524)-FIND("-",[1]Sheet1!F524)-1)</f>
        <v>汉中</v>
      </c>
      <c r="F524" s="2" t="s">
        <v>18</v>
      </c>
      <c r="G524" s="2" t="s">
        <v>32</v>
      </c>
      <c r="H524" s="2" t="s">
        <v>66</v>
      </c>
      <c r="I524" s="2" t="s">
        <v>43</v>
      </c>
      <c r="J524" s="2" t="s">
        <v>44</v>
      </c>
      <c r="K524" s="2" t="s">
        <v>117</v>
      </c>
      <c r="L524" s="2" t="s">
        <v>24</v>
      </c>
      <c r="M524" s="2" t="s">
        <v>36</v>
      </c>
      <c r="N524" s="2" t="s">
        <v>37</v>
      </c>
      <c r="O524" s="2" t="s">
        <v>58</v>
      </c>
      <c r="P524" s="2" t="s">
        <v>218</v>
      </c>
      <c r="Q524" s="2" t="s">
        <v>101</v>
      </c>
    </row>
    <row r="525" spans="1:17">
      <c r="A525" s="2" t="s">
        <v>803</v>
      </c>
      <c r="B525" s="2" t="str">
        <f>[1]Sheet1!M525</f>
        <v>男</v>
      </c>
      <c r="C525" s="3" t="str" cm="1">
        <f t="array" ref="C5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25" s="2" t="str">
        <f>MID([1]Sheet1!F525,FIND("(",[1]Sheet1!F525)+1,FIND("-",[1]Sheet1!F525)-FIND("(",[1]Sheet1!F525)-1)</f>
        <v>重庆</v>
      </c>
      <c r="E525" s="2" t="str">
        <f>MID([1]Sheet1!F525,FIND("-",[1]Sheet1!F525)+1,FIND(")",[1]Sheet1!F525)-FIND("-",[1]Sheet1!F525)-1)</f>
        <v>重庆</v>
      </c>
      <c r="F525" s="2" t="s">
        <v>88</v>
      </c>
      <c r="G525" s="2" t="s">
        <v>50</v>
      </c>
      <c r="H525" s="2" t="s">
        <v>66</v>
      </c>
      <c r="I525" s="2" t="s">
        <v>120</v>
      </c>
      <c r="J525" s="2" t="s">
        <v>82</v>
      </c>
      <c r="K525" s="2" t="s">
        <v>115</v>
      </c>
      <c r="L525" s="2" t="s">
        <v>24</v>
      </c>
      <c r="M525" s="2" t="s">
        <v>78</v>
      </c>
      <c r="N525" s="2" t="s">
        <v>26</v>
      </c>
      <c r="O525" s="2" t="s">
        <v>47</v>
      </c>
      <c r="P525" s="2" t="s">
        <v>179</v>
      </c>
      <c r="Q525" s="2" t="s">
        <v>101</v>
      </c>
    </row>
    <row r="526" spans="1:17">
      <c r="A526" s="2" t="s">
        <v>804</v>
      </c>
      <c r="B526" s="2" t="str">
        <f>[1]Sheet1!M526</f>
        <v>男</v>
      </c>
      <c r="C526" s="3" t="str" cm="1">
        <f t="array" ref="C5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26" s="2" t="str">
        <f>MID([1]Sheet1!F526,FIND("(",[1]Sheet1!F526)+1,FIND("-",[1]Sheet1!F526)-FIND("(",[1]Sheet1!F526)-1)</f>
        <v>湖南</v>
      </c>
      <c r="E526" s="2" t="str">
        <f>MID([1]Sheet1!F526,FIND("-",[1]Sheet1!F526)+1,FIND(")",[1]Sheet1!F526)-FIND("-",[1]Sheet1!F526)-1)</f>
        <v>长沙</v>
      </c>
      <c r="F526" s="2" t="s">
        <v>42</v>
      </c>
      <c r="G526" s="2" t="s">
        <v>81</v>
      </c>
      <c r="H526" s="2" t="s">
        <v>55</v>
      </c>
      <c r="I526" s="2" t="s">
        <v>120</v>
      </c>
      <c r="J526" s="2" t="s">
        <v>96</v>
      </c>
      <c r="K526" s="2" t="s">
        <v>117</v>
      </c>
      <c r="L526" s="2" t="s">
        <v>24</v>
      </c>
      <c r="M526" s="2" t="s">
        <v>67</v>
      </c>
      <c r="N526" s="2" t="s">
        <v>46</v>
      </c>
      <c r="O526" s="2" t="s">
        <v>27</v>
      </c>
      <c r="P526" s="2" t="s">
        <v>39</v>
      </c>
      <c r="Q526" s="2" t="s">
        <v>339</v>
      </c>
    </row>
    <row r="527" spans="1:17">
      <c r="A527" s="2" t="s">
        <v>805</v>
      </c>
      <c r="B527" s="2" t="str">
        <f>[1]Sheet1!M527</f>
        <v>男</v>
      </c>
      <c r="C527" s="3" t="str" cm="1">
        <f t="array" ref="C5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27" s="2" t="str">
        <f>MID([1]Sheet1!F527,FIND("(",[1]Sheet1!F527)+1,FIND("-",[1]Sheet1!F527)-FIND("(",[1]Sheet1!F527)-1)</f>
        <v>四川</v>
      </c>
      <c r="E527" s="2" t="str">
        <f>MID([1]Sheet1!F527,FIND("-",[1]Sheet1!F527)+1,FIND(")",[1]Sheet1!F527)-FIND("-",[1]Sheet1!F527)-1)</f>
        <v>资阳</v>
      </c>
      <c r="F527" s="2" t="s">
        <v>42</v>
      </c>
      <c r="G527" s="2" t="s">
        <v>50</v>
      </c>
      <c r="H527" s="2" t="s">
        <v>66</v>
      </c>
      <c r="I527" s="2" t="s">
        <v>21</v>
      </c>
      <c r="J527" s="2" t="s">
        <v>56</v>
      </c>
      <c r="K527" s="2" t="s">
        <v>117</v>
      </c>
      <c r="L527" s="2" t="s">
        <v>24</v>
      </c>
      <c r="M527" s="2" t="s">
        <v>78</v>
      </c>
      <c r="N527" s="2" t="s">
        <v>26</v>
      </c>
      <c r="O527" s="2" t="s">
        <v>47</v>
      </c>
      <c r="P527" s="2" t="s">
        <v>39</v>
      </c>
      <c r="Q527" s="2" t="s">
        <v>806</v>
      </c>
    </row>
    <row r="528" spans="1:17">
      <c r="A528" s="2" t="s">
        <v>807</v>
      </c>
      <c r="B528" s="2" t="str">
        <f>[1]Sheet1!M528</f>
        <v>男</v>
      </c>
      <c r="C528" s="3" t="str" cm="1">
        <f t="array" ref="C5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28" s="2" t="str">
        <f>MID([1]Sheet1!F528,FIND("(",[1]Sheet1!F528)+1,FIND("-",[1]Sheet1!F528)-FIND("(",[1]Sheet1!F528)-1)</f>
        <v>宁夏</v>
      </c>
      <c r="E528" s="2" t="str">
        <f>MID([1]Sheet1!F528,FIND("-",[1]Sheet1!F528)+1,FIND(")",[1]Sheet1!F528)-FIND("-",[1]Sheet1!F528)-1)</f>
        <v>固原</v>
      </c>
      <c r="F528" s="2" t="s">
        <v>42</v>
      </c>
      <c r="G528" s="2" t="s">
        <v>32</v>
      </c>
      <c r="H528" s="2" t="s">
        <v>66</v>
      </c>
      <c r="I528" s="2" t="s">
        <v>120</v>
      </c>
      <c r="J528" s="2" t="s">
        <v>96</v>
      </c>
      <c r="K528" s="2" t="s">
        <v>121</v>
      </c>
      <c r="L528" s="2" t="s">
        <v>24</v>
      </c>
      <c r="M528" s="2" t="s">
        <v>36</v>
      </c>
      <c r="N528" s="2" t="s">
        <v>37</v>
      </c>
      <c r="O528" s="2" t="s">
        <v>398</v>
      </c>
      <c r="P528" s="2" t="s">
        <v>175</v>
      </c>
      <c r="Q528" s="2" t="s">
        <v>40</v>
      </c>
    </row>
    <row r="529" spans="1:17">
      <c r="A529" s="2" t="s">
        <v>808</v>
      </c>
      <c r="B529" s="2" t="str">
        <f>[1]Sheet1!M529</f>
        <v>男</v>
      </c>
      <c r="C529" s="3" t="str" cm="1">
        <f t="array" ref="C5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29" s="2" t="str">
        <f>MID([1]Sheet1!F529,FIND("(",[1]Sheet1!F529)+1,FIND("-",[1]Sheet1!F529)-FIND("(",[1]Sheet1!F529)-1)</f>
        <v>山东</v>
      </c>
      <c r="E529" s="2" t="str">
        <f>MID([1]Sheet1!F529,FIND("-",[1]Sheet1!F529)+1,FIND(")",[1]Sheet1!F529)-FIND("-",[1]Sheet1!F529)-1)</f>
        <v>济南</v>
      </c>
      <c r="F529" s="2" t="s">
        <v>88</v>
      </c>
      <c r="G529" s="2" t="s">
        <v>19</v>
      </c>
      <c r="H529" s="2" t="s">
        <v>66</v>
      </c>
      <c r="I529" s="2" t="s">
        <v>43</v>
      </c>
      <c r="J529" s="2" t="s">
        <v>82</v>
      </c>
      <c r="K529" s="2" t="s">
        <v>537</v>
      </c>
      <c r="L529" s="2" t="s">
        <v>24</v>
      </c>
      <c r="M529" s="2" t="s">
        <v>25</v>
      </c>
      <c r="N529" s="2" t="s">
        <v>37</v>
      </c>
      <c r="O529" s="2" t="s">
        <v>62</v>
      </c>
      <c r="P529" s="2" t="s">
        <v>86</v>
      </c>
      <c r="Q529" s="2" t="s">
        <v>269</v>
      </c>
    </row>
    <row r="530" spans="1:17">
      <c r="A530" s="2" t="s">
        <v>809</v>
      </c>
      <c r="B530" s="2" t="str">
        <f>[1]Sheet1!M530</f>
        <v>男</v>
      </c>
      <c r="C530" s="3" t="str" cm="1">
        <f t="array" ref="C5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530" s="2" t="str">
        <f>MID([1]Sheet1!F530,FIND("(",[1]Sheet1!F530)+1,FIND("-",[1]Sheet1!F530)-FIND("(",[1]Sheet1!F530)-1)</f>
        <v>山西</v>
      </c>
      <c r="E530" s="2" t="str">
        <f>MID([1]Sheet1!F530,FIND("-",[1]Sheet1!F530)+1,FIND(")",[1]Sheet1!F530)-FIND("-",[1]Sheet1!F530)-1)</f>
        <v>运城</v>
      </c>
      <c r="F530" s="2" t="s">
        <v>42</v>
      </c>
      <c r="G530" s="2" t="s">
        <v>50</v>
      </c>
      <c r="H530" s="2" t="s">
        <v>66</v>
      </c>
      <c r="I530" s="2" t="s">
        <v>43</v>
      </c>
      <c r="J530" s="2" t="s">
        <v>96</v>
      </c>
      <c r="K530" s="2" t="s">
        <v>240</v>
      </c>
      <c r="L530" s="2" t="s">
        <v>24</v>
      </c>
      <c r="M530" s="2" t="s">
        <v>67</v>
      </c>
      <c r="N530" s="2" t="s">
        <v>26</v>
      </c>
      <c r="O530" s="2" t="s">
        <v>47</v>
      </c>
      <c r="P530" s="2" t="s">
        <v>179</v>
      </c>
      <c r="Q530" s="2" t="s">
        <v>810</v>
      </c>
    </row>
    <row r="531" spans="1:17">
      <c r="A531" s="2" t="s">
        <v>811</v>
      </c>
      <c r="B531" s="2" t="str">
        <f>[1]Sheet1!M531</f>
        <v>男</v>
      </c>
      <c r="C531" s="3" t="str" cm="1">
        <f t="array" ref="C5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531" s="2" t="str">
        <f>MID([1]Sheet1!F531,FIND("(",[1]Sheet1!F531)+1,FIND("-",[1]Sheet1!F531)-FIND("(",[1]Sheet1!F531)-1)</f>
        <v>北京</v>
      </c>
      <c r="E531" s="2" t="str">
        <f>MID([1]Sheet1!F531,FIND("-",[1]Sheet1!F531)+1,FIND(")",[1]Sheet1!F531)-FIND("-",[1]Sheet1!F531)-1)</f>
        <v>北京</v>
      </c>
      <c r="F531" s="2" t="s">
        <v>42</v>
      </c>
      <c r="G531" s="2" t="s">
        <v>32</v>
      </c>
      <c r="H531" s="2" t="s">
        <v>66</v>
      </c>
      <c r="I531" s="2" t="s">
        <v>21</v>
      </c>
      <c r="J531" s="2" t="s">
        <v>22</v>
      </c>
      <c r="K531" s="2" t="s">
        <v>115</v>
      </c>
      <c r="L531" s="2" t="s">
        <v>24</v>
      </c>
      <c r="M531" s="2" t="s">
        <v>448</v>
      </c>
      <c r="N531" s="2" t="s">
        <v>105</v>
      </c>
      <c r="O531" s="2" t="s">
        <v>58</v>
      </c>
      <c r="P531" s="2" t="s">
        <v>86</v>
      </c>
      <c r="Q531" s="2" t="s">
        <v>812</v>
      </c>
    </row>
    <row r="532" spans="1:17">
      <c r="A532" s="2" t="s">
        <v>813</v>
      </c>
      <c r="B532" s="2" t="str">
        <f>[1]Sheet1!M532</f>
        <v>男</v>
      </c>
      <c r="C532" s="3" t="str" cm="1">
        <f t="array" ref="C5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32" s="2" t="str">
        <f>MID([1]Sheet1!F532,FIND("(",[1]Sheet1!F532)+1,FIND("-",[1]Sheet1!F532)-FIND("(",[1]Sheet1!F532)-1)</f>
        <v>湖北</v>
      </c>
      <c r="E532" s="2" t="str">
        <f>MID([1]Sheet1!F532,FIND("-",[1]Sheet1!F532)+1,FIND(")",[1]Sheet1!F532)-FIND("-",[1]Sheet1!F532)-1)</f>
        <v>武汉</v>
      </c>
      <c r="F532" s="2" t="s">
        <v>42</v>
      </c>
      <c r="G532" s="2" t="s">
        <v>50</v>
      </c>
      <c r="H532" s="2" t="s">
        <v>66</v>
      </c>
      <c r="I532" s="2" t="s">
        <v>211</v>
      </c>
      <c r="J532" s="2" t="s">
        <v>82</v>
      </c>
      <c r="K532" s="2" t="s">
        <v>130</v>
      </c>
      <c r="L532" s="2" t="s">
        <v>24</v>
      </c>
      <c r="M532" s="2" t="s">
        <v>36</v>
      </c>
      <c r="N532" s="2" t="s">
        <v>37</v>
      </c>
      <c r="O532" s="2" t="s">
        <v>89</v>
      </c>
      <c r="P532" s="2" t="s">
        <v>39</v>
      </c>
      <c r="Q532" s="2" t="s">
        <v>672</v>
      </c>
    </row>
    <row r="533" spans="1:17">
      <c r="A533" s="2" t="s">
        <v>814</v>
      </c>
      <c r="B533" s="2" t="str">
        <f>[1]Sheet1!M533</f>
        <v>男</v>
      </c>
      <c r="C533" s="3" t="str" cm="1">
        <f t="array" ref="C5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33" s="2" t="str">
        <f>MID([1]Sheet1!F533,FIND("(",[1]Sheet1!F533)+1,FIND("-",[1]Sheet1!F533)-FIND("(",[1]Sheet1!F533)-1)</f>
        <v>重庆</v>
      </c>
      <c r="E533" s="2" t="str">
        <f>MID([1]Sheet1!F533,FIND("-",[1]Sheet1!F533)+1,FIND(")",[1]Sheet1!F533)-FIND("-",[1]Sheet1!F533)-1)</f>
        <v>重庆</v>
      </c>
      <c r="F533" s="2" t="s">
        <v>42</v>
      </c>
      <c r="G533" s="2" t="s">
        <v>32</v>
      </c>
      <c r="H533" s="2" t="s">
        <v>66</v>
      </c>
      <c r="I533" s="2" t="s">
        <v>120</v>
      </c>
      <c r="J533" s="2" t="s">
        <v>96</v>
      </c>
      <c r="K533" s="2" t="s">
        <v>304</v>
      </c>
      <c r="L533" s="2" t="s">
        <v>24</v>
      </c>
      <c r="M533" s="2" t="s">
        <v>36</v>
      </c>
      <c r="N533" s="2" t="s">
        <v>37</v>
      </c>
      <c r="O533" s="2" t="s">
        <v>450</v>
      </c>
      <c r="P533" s="2" t="s">
        <v>289</v>
      </c>
      <c r="Q533" s="2" t="s">
        <v>75</v>
      </c>
    </row>
    <row r="534" spans="1:17">
      <c r="A534" s="2" t="s">
        <v>814</v>
      </c>
      <c r="B534" s="2" t="str">
        <f>[1]Sheet1!M534</f>
        <v>男</v>
      </c>
      <c r="C534" s="3" t="str" cm="1">
        <f t="array" ref="C5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34" s="2" t="str">
        <f>MID([1]Sheet1!F534,FIND("(",[1]Sheet1!F534)+1,FIND("-",[1]Sheet1!F534)-FIND("(",[1]Sheet1!F534)-1)</f>
        <v>重庆</v>
      </c>
      <c r="E534" s="2" t="str">
        <f>MID([1]Sheet1!F534,FIND("-",[1]Sheet1!F534)+1,FIND(")",[1]Sheet1!F534)-FIND("-",[1]Sheet1!F534)-1)</f>
        <v>重庆</v>
      </c>
      <c r="F534" s="2" t="s">
        <v>42</v>
      </c>
      <c r="G534" s="2" t="s">
        <v>32</v>
      </c>
      <c r="H534" s="2" t="s">
        <v>66</v>
      </c>
      <c r="I534" s="2" t="s">
        <v>120</v>
      </c>
      <c r="J534" s="2" t="s">
        <v>96</v>
      </c>
      <c r="K534" s="2" t="s">
        <v>121</v>
      </c>
      <c r="L534" s="2" t="s">
        <v>24</v>
      </c>
      <c r="M534" s="2" t="s">
        <v>36</v>
      </c>
      <c r="N534" s="2" t="s">
        <v>37</v>
      </c>
      <c r="O534" s="2" t="s">
        <v>122</v>
      </c>
      <c r="P534" s="2" t="s">
        <v>289</v>
      </c>
      <c r="Q534" s="2" t="s">
        <v>815</v>
      </c>
    </row>
    <row r="535" spans="1:17">
      <c r="A535" s="2" t="s">
        <v>816</v>
      </c>
      <c r="B535" s="2" t="str">
        <f>[1]Sheet1!M535</f>
        <v>男</v>
      </c>
      <c r="C535" s="3" t="str" cm="1">
        <f t="array" ref="C5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35" s="2" t="str">
        <f>MID([1]Sheet1!F535,FIND("(",[1]Sheet1!F535)+1,FIND("-",[1]Sheet1!F535)-FIND("(",[1]Sheet1!F535)-1)</f>
        <v>广东</v>
      </c>
      <c r="E535" s="2" t="str">
        <f>MID([1]Sheet1!F535,FIND("-",[1]Sheet1!F535)+1,FIND(")",[1]Sheet1!F535)-FIND("-",[1]Sheet1!F535)-1)</f>
        <v>汕头</v>
      </c>
      <c r="F535" s="2" t="s">
        <v>159</v>
      </c>
      <c r="G535" s="2" t="s">
        <v>19</v>
      </c>
      <c r="H535" s="2" t="s">
        <v>33</v>
      </c>
      <c r="I535" s="2" t="s">
        <v>51</v>
      </c>
      <c r="J535" s="2" t="s">
        <v>22</v>
      </c>
      <c r="K535" s="2" t="s">
        <v>115</v>
      </c>
      <c r="L535" s="2" t="s">
        <v>24</v>
      </c>
      <c r="M535" s="2" t="s">
        <v>25</v>
      </c>
      <c r="N535" s="2" t="s">
        <v>46</v>
      </c>
      <c r="O535" s="2" t="s">
        <v>47</v>
      </c>
      <c r="P535" s="2" t="s">
        <v>179</v>
      </c>
      <c r="Q535" s="2" t="s">
        <v>29</v>
      </c>
    </row>
    <row r="536" spans="1:17">
      <c r="A536" s="2" t="s">
        <v>817</v>
      </c>
      <c r="B536" s="2" t="str">
        <f>[1]Sheet1!M536</f>
        <v>女</v>
      </c>
      <c r="C536" s="3" t="str" cm="1">
        <f t="array" ref="C5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536" s="2" t="str">
        <f>MID([1]Sheet1!F536,FIND("(",[1]Sheet1!F536)+1,FIND("-",[1]Sheet1!F536)-FIND("(",[1]Sheet1!F536)-1)</f>
        <v>香港</v>
      </c>
      <c r="E536" s="2" t="str">
        <f>MID([1]Sheet1!F536,FIND("-",[1]Sheet1!F536)+1,FIND(")",[1]Sheet1!F536)-FIND("-",[1]Sheet1!F536)-1)</f>
        <v>未知</v>
      </c>
      <c r="F536" s="2" t="s">
        <v>88</v>
      </c>
      <c r="G536" s="2" t="s">
        <v>32</v>
      </c>
      <c r="H536" s="2" t="s">
        <v>55</v>
      </c>
      <c r="I536" s="2" t="s">
        <v>73</v>
      </c>
      <c r="J536" s="2" t="s">
        <v>77</v>
      </c>
      <c r="K536" s="2" t="s">
        <v>115</v>
      </c>
      <c r="L536" s="2" t="s">
        <v>83</v>
      </c>
      <c r="M536" s="2" t="s">
        <v>84</v>
      </c>
      <c r="N536" s="2" t="s">
        <v>85</v>
      </c>
      <c r="O536" s="2" t="s">
        <v>47</v>
      </c>
      <c r="P536" s="2" t="s">
        <v>39</v>
      </c>
      <c r="Q536" s="2" t="s">
        <v>183</v>
      </c>
    </row>
    <row r="537" spans="1:17">
      <c r="A537" s="2" t="s">
        <v>818</v>
      </c>
      <c r="B537" s="2" t="str">
        <f>[1]Sheet1!M537</f>
        <v>男</v>
      </c>
      <c r="C537" s="3" t="str" cm="1">
        <f t="array" ref="C5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37" s="2" t="str">
        <f>MID([1]Sheet1!F537,FIND("(",[1]Sheet1!F537)+1,FIND("-",[1]Sheet1!F537)-FIND("(",[1]Sheet1!F537)-1)</f>
        <v>上海</v>
      </c>
      <c r="E537" s="2" t="str">
        <f>MID([1]Sheet1!F537,FIND("-",[1]Sheet1!F537)+1,FIND(")",[1]Sheet1!F537)-FIND("-",[1]Sheet1!F537)-1)</f>
        <v>上海</v>
      </c>
      <c r="F537" s="2" t="s">
        <v>88</v>
      </c>
      <c r="G537" s="2" t="s">
        <v>50</v>
      </c>
      <c r="H537" s="2" t="s">
        <v>33</v>
      </c>
      <c r="I537" s="2" t="s">
        <v>21</v>
      </c>
      <c r="J537" s="2" t="s">
        <v>82</v>
      </c>
      <c r="K537" s="2" t="s">
        <v>130</v>
      </c>
      <c r="L537" s="2" t="s">
        <v>24</v>
      </c>
      <c r="M537" s="2" t="s">
        <v>57</v>
      </c>
      <c r="N537" s="2" t="s">
        <v>37</v>
      </c>
      <c r="O537" s="2" t="s">
        <v>106</v>
      </c>
      <c r="P537" s="2" t="s">
        <v>218</v>
      </c>
      <c r="Q537" s="2" t="s">
        <v>819</v>
      </c>
    </row>
    <row r="538" spans="1:17">
      <c r="A538" s="2" t="s">
        <v>820</v>
      </c>
      <c r="B538" s="2" t="str">
        <f>[1]Sheet1!M538</f>
        <v>男</v>
      </c>
      <c r="C538" s="3" t="str" cm="1">
        <f t="array" ref="C5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38" s="2" t="str">
        <f>MID([1]Sheet1!F538,FIND("(",[1]Sheet1!F538)+1,FIND("-",[1]Sheet1!F538)-FIND("(",[1]Sheet1!F538)-1)</f>
        <v>湖南</v>
      </c>
      <c r="E538" s="2" t="str">
        <f>MID([1]Sheet1!F538,FIND("-",[1]Sheet1!F538)+1,FIND(")",[1]Sheet1!F538)-FIND("-",[1]Sheet1!F538)-1)</f>
        <v>长沙</v>
      </c>
      <c r="F538" s="2" t="s">
        <v>159</v>
      </c>
      <c r="G538" s="2" t="s">
        <v>32</v>
      </c>
      <c r="H538" s="2" t="s">
        <v>66</v>
      </c>
      <c r="I538" s="2" t="s">
        <v>51</v>
      </c>
      <c r="J538" s="2" t="s">
        <v>96</v>
      </c>
      <c r="K538" s="2" t="s">
        <v>115</v>
      </c>
      <c r="L538" s="2" t="s">
        <v>24</v>
      </c>
      <c r="M538" s="2" t="s">
        <v>25</v>
      </c>
      <c r="N538" s="2" t="s">
        <v>37</v>
      </c>
      <c r="O538" s="2" t="s">
        <v>27</v>
      </c>
      <c r="P538" s="2" t="s">
        <v>28</v>
      </c>
      <c r="Q538" s="2" t="s">
        <v>214</v>
      </c>
    </row>
    <row r="539" spans="1:17">
      <c r="A539" s="2" t="s">
        <v>821</v>
      </c>
      <c r="B539" s="2" t="str">
        <f>[1]Sheet1!M539</f>
        <v>女</v>
      </c>
      <c r="C539" s="3" t="str" cm="1">
        <f t="array" ref="C5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39" s="2" t="str">
        <f>MID([1]Sheet1!F539,FIND("(",[1]Sheet1!F539)+1,FIND("-",[1]Sheet1!F539)-FIND("(",[1]Sheet1!F539)-1)</f>
        <v>广东</v>
      </c>
      <c r="E539" s="2" t="str">
        <f>MID([1]Sheet1!F539,FIND("-",[1]Sheet1!F539)+1,FIND(")",[1]Sheet1!F539)-FIND("-",[1]Sheet1!F539)-1)</f>
        <v>汕头</v>
      </c>
      <c r="F539" s="2" t="s">
        <v>31</v>
      </c>
      <c r="G539" s="2" t="s">
        <v>81</v>
      </c>
      <c r="H539" s="2" t="s">
        <v>33</v>
      </c>
      <c r="I539" s="2" t="s">
        <v>73</v>
      </c>
      <c r="J539" s="2" t="s">
        <v>82</v>
      </c>
      <c r="K539" s="2" t="s">
        <v>822</v>
      </c>
      <c r="L539" s="2" t="s">
        <v>24</v>
      </c>
      <c r="M539" s="2" t="s">
        <v>36</v>
      </c>
      <c r="N539" s="2" t="s">
        <v>37</v>
      </c>
      <c r="O539" s="2" t="s">
        <v>122</v>
      </c>
      <c r="P539" s="2" t="s">
        <v>28</v>
      </c>
      <c r="Q539" s="2" t="s">
        <v>566</v>
      </c>
    </row>
    <row r="540" spans="1:17">
      <c r="A540" s="2" t="s">
        <v>823</v>
      </c>
      <c r="B540" s="2" t="str">
        <f>[1]Sheet1!M540</f>
        <v>男</v>
      </c>
      <c r="C540" s="3" t="str" cm="1">
        <f t="array" ref="C5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40" s="2" t="str">
        <f>MID([1]Sheet1!F540,FIND("(",[1]Sheet1!F540)+1,FIND("-",[1]Sheet1!F540)-FIND("(",[1]Sheet1!F540)-1)</f>
        <v>广东</v>
      </c>
      <c r="E540" s="2" t="str">
        <f>MID([1]Sheet1!F540,FIND("-",[1]Sheet1!F540)+1,FIND(")",[1]Sheet1!F540)-FIND("-",[1]Sheet1!F540)-1)</f>
        <v>深圳</v>
      </c>
      <c r="F540" s="2" t="s">
        <v>42</v>
      </c>
      <c r="G540" s="2" t="s">
        <v>19</v>
      </c>
      <c r="H540" s="2" t="s">
        <v>66</v>
      </c>
      <c r="I540" s="2" t="s">
        <v>73</v>
      </c>
      <c r="J540" s="2" t="s">
        <v>82</v>
      </c>
      <c r="K540" s="2" t="s">
        <v>115</v>
      </c>
      <c r="L540" s="2" t="s">
        <v>24</v>
      </c>
      <c r="M540" s="2" t="s">
        <v>36</v>
      </c>
      <c r="N540" s="2" t="s">
        <v>37</v>
      </c>
      <c r="O540" s="2" t="s">
        <v>47</v>
      </c>
      <c r="P540" s="2" t="s">
        <v>63</v>
      </c>
      <c r="Q540" s="2" t="s">
        <v>824</v>
      </c>
    </row>
    <row r="541" spans="1:17">
      <c r="A541" s="2" t="s">
        <v>825</v>
      </c>
      <c r="B541" s="2" t="str">
        <f>[1]Sheet1!M541</f>
        <v>男</v>
      </c>
      <c r="C541" s="3" t="str" cm="1">
        <f t="array" ref="C5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41" s="2" t="str">
        <f>MID([1]Sheet1!F541,FIND("(",[1]Sheet1!F541)+1,FIND("-",[1]Sheet1!F541)-FIND("(",[1]Sheet1!F541)-1)</f>
        <v>安徽</v>
      </c>
      <c r="E541" s="2" t="str">
        <f>MID([1]Sheet1!F541,FIND("-",[1]Sheet1!F541)+1,FIND(")",[1]Sheet1!F541)-FIND("-",[1]Sheet1!F541)-1)</f>
        <v>六安</v>
      </c>
      <c r="F541" s="2" t="s">
        <v>31</v>
      </c>
      <c r="G541" s="2" t="s">
        <v>114</v>
      </c>
      <c r="H541" s="2" t="s">
        <v>20</v>
      </c>
      <c r="I541" s="2" t="s">
        <v>120</v>
      </c>
      <c r="J541" s="2" t="s">
        <v>35</v>
      </c>
      <c r="K541" s="2" t="s">
        <v>117</v>
      </c>
      <c r="L541" s="2" t="s">
        <v>24</v>
      </c>
      <c r="M541" s="2" t="s">
        <v>36</v>
      </c>
      <c r="N541" s="2" t="s">
        <v>37</v>
      </c>
      <c r="O541" s="2" t="s">
        <v>47</v>
      </c>
      <c r="P541" s="2" t="s">
        <v>39</v>
      </c>
      <c r="Q541" s="2" t="s">
        <v>826</v>
      </c>
    </row>
    <row r="542" spans="1:17">
      <c r="A542" s="2" t="s">
        <v>827</v>
      </c>
      <c r="B542" s="2" t="str">
        <f>[1]Sheet1!M542</f>
        <v>男</v>
      </c>
      <c r="C542" s="3" t="str" cm="1">
        <f t="array" ref="C5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42" s="2" t="str">
        <f>MID([1]Sheet1!F542,FIND("(",[1]Sheet1!F542)+1,FIND("-",[1]Sheet1!F542)-FIND("(",[1]Sheet1!F542)-1)</f>
        <v>湖北</v>
      </c>
      <c r="E542" s="2" t="str">
        <f>MID([1]Sheet1!F542,FIND("-",[1]Sheet1!F542)+1,FIND(")",[1]Sheet1!F542)-FIND("-",[1]Sheet1!F542)-1)</f>
        <v>武汉</v>
      </c>
      <c r="F542" s="2" t="s">
        <v>88</v>
      </c>
      <c r="G542" s="2" t="s">
        <v>50</v>
      </c>
      <c r="H542" s="2" t="s">
        <v>20</v>
      </c>
      <c r="I542" s="2" t="s">
        <v>43</v>
      </c>
      <c r="J542" s="2" t="s">
        <v>77</v>
      </c>
      <c r="K542" s="2" t="s">
        <v>117</v>
      </c>
      <c r="L542" s="2" t="s">
        <v>24</v>
      </c>
      <c r="M542" s="2" t="s">
        <v>36</v>
      </c>
      <c r="N542" s="2" t="s">
        <v>26</v>
      </c>
      <c r="O542" s="2" t="s">
        <v>202</v>
      </c>
      <c r="P542" s="2" t="s">
        <v>86</v>
      </c>
      <c r="Q542" s="2" t="s">
        <v>68</v>
      </c>
    </row>
    <row r="543" spans="1:17">
      <c r="A543" s="2" t="s">
        <v>828</v>
      </c>
      <c r="B543" s="2" t="str">
        <f>[1]Sheet1!M543</f>
        <v>男</v>
      </c>
      <c r="C543" s="3" t="str" cm="1">
        <f t="array" ref="C5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43" s="2" t="str">
        <f>MID([1]Sheet1!F543,FIND("(",[1]Sheet1!F543)+1,FIND("-",[1]Sheet1!F543)-FIND("(",[1]Sheet1!F543)-1)</f>
        <v>广东</v>
      </c>
      <c r="E543" s="2" t="str">
        <f>MID([1]Sheet1!F543,FIND("-",[1]Sheet1!F543)+1,FIND(")",[1]Sheet1!F543)-FIND("-",[1]Sheet1!F543)-1)</f>
        <v>深圳</v>
      </c>
      <c r="F543" s="2" t="s">
        <v>18</v>
      </c>
      <c r="G543" s="2" t="s">
        <v>114</v>
      </c>
      <c r="H543" s="2" t="s">
        <v>33</v>
      </c>
      <c r="I543" s="2" t="s">
        <v>43</v>
      </c>
      <c r="J543" s="2" t="s">
        <v>96</v>
      </c>
      <c r="K543" s="2" t="s">
        <v>121</v>
      </c>
      <c r="L543" s="2" t="s">
        <v>83</v>
      </c>
      <c r="M543" s="2" t="s">
        <v>126</v>
      </c>
      <c r="N543" s="2" t="s">
        <v>26</v>
      </c>
      <c r="O543" s="2" t="s">
        <v>47</v>
      </c>
      <c r="P543" s="2" t="s">
        <v>59</v>
      </c>
      <c r="Q543" s="2" t="s">
        <v>160</v>
      </c>
    </row>
    <row r="544" spans="1:17">
      <c r="A544" s="2" t="s">
        <v>829</v>
      </c>
      <c r="B544" s="2" t="str">
        <f>[1]Sheet1!M544</f>
        <v>男</v>
      </c>
      <c r="C544" s="3" t="str" cm="1">
        <f t="array" ref="C5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44" s="2" t="str">
        <f>MID([1]Sheet1!F544,FIND("(",[1]Sheet1!F544)+1,FIND("-",[1]Sheet1!F544)-FIND("(",[1]Sheet1!F544)-1)</f>
        <v>贵州</v>
      </c>
      <c r="E544" s="2" t="str">
        <f>MID([1]Sheet1!F544,FIND("-",[1]Sheet1!F544)+1,FIND(")",[1]Sheet1!F544)-FIND("-",[1]Sheet1!F544)-1)</f>
        <v>遵义</v>
      </c>
      <c r="F544" s="2" t="s">
        <v>88</v>
      </c>
      <c r="G544" s="2" t="s">
        <v>50</v>
      </c>
      <c r="H544" s="2" t="s">
        <v>66</v>
      </c>
      <c r="I544" s="2" t="s">
        <v>21</v>
      </c>
      <c r="J544" s="2" t="s">
        <v>96</v>
      </c>
      <c r="K544" s="2" t="s">
        <v>115</v>
      </c>
      <c r="L544" s="2" t="s">
        <v>24</v>
      </c>
      <c r="M544" s="2" t="s">
        <v>448</v>
      </c>
      <c r="N544" s="2" t="s">
        <v>85</v>
      </c>
      <c r="O544" s="2" t="s">
        <v>27</v>
      </c>
      <c r="P544" s="2" t="s">
        <v>39</v>
      </c>
      <c r="Q544" s="2" t="s">
        <v>830</v>
      </c>
    </row>
    <row r="545" spans="1:17">
      <c r="A545" s="2" t="s">
        <v>831</v>
      </c>
      <c r="B545" s="2" t="str">
        <f>[1]Sheet1!M545</f>
        <v>男</v>
      </c>
      <c r="C545" s="3" t="str" cm="1">
        <f t="array" ref="C5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45" s="2" t="str">
        <f>MID([1]Sheet1!F545,FIND("(",[1]Sheet1!F545)+1,FIND("-",[1]Sheet1!F545)-FIND("(",[1]Sheet1!F545)-1)</f>
        <v>广东</v>
      </c>
      <c r="E545" s="2" t="str">
        <f>MID([1]Sheet1!F545,FIND("-",[1]Sheet1!F545)+1,FIND(")",[1]Sheet1!F545)-FIND("-",[1]Sheet1!F545)-1)</f>
        <v>东莞</v>
      </c>
      <c r="F545" s="2" t="s">
        <v>18</v>
      </c>
      <c r="G545" s="2" t="s">
        <v>162</v>
      </c>
      <c r="H545" s="2" t="s">
        <v>66</v>
      </c>
      <c r="I545" s="2" t="s">
        <v>73</v>
      </c>
      <c r="J545" s="2" t="s">
        <v>77</v>
      </c>
      <c r="K545" s="2" t="s">
        <v>121</v>
      </c>
      <c r="L545" s="2" t="s">
        <v>24</v>
      </c>
      <c r="M545" s="2" t="s">
        <v>78</v>
      </c>
      <c r="N545" s="2" t="s">
        <v>37</v>
      </c>
      <c r="O545" s="2" t="s">
        <v>204</v>
      </c>
      <c r="P545" s="2" t="s">
        <v>28</v>
      </c>
      <c r="Q545" s="2" t="s">
        <v>48</v>
      </c>
    </row>
    <row r="546" spans="1:17">
      <c r="A546" s="2" t="s">
        <v>832</v>
      </c>
      <c r="B546" s="2" t="str">
        <f>[1]Sheet1!M546</f>
        <v>男</v>
      </c>
      <c r="C546" s="3" t="str" cm="1">
        <f t="array" ref="C5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46" s="2" t="str">
        <f>MID([1]Sheet1!F546,FIND("(",[1]Sheet1!F546)+1,FIND("-",[1]Sheet1!F546)-FIND("(",[1]Sheet1!F546)-1)</f>
        <v>江西</v>
      </c>
      <c r="E546" s="2" t="str">
        <f>MID([1]Sheet1!F546,FIND("-",[1]Sheet1!F546)+1,FIND(")",[1]Sheet1!F546)-FIND("-",[1]Sheet1!F546)-1)</f>
        <v>南昌</v>
      </c>
      <c r="F546" s="2" t="s">
        <v>42</v>
      </c>
      <c r="G546" s="2" t="s">
        <v>19</v>
      </c>
      <c r="H546" s="2" t="s">
        <v>20</v>
      </c>
      <c r="I546" s="2" t="s">
        <v>51</v>
      </c>
      <c r="J546" s="2" t="s">
        <v>82</v>
      </c>
      <c r="K546" s="2" t="s">
        <v>117</v>
      </c>
      <c r="L546" s="2" t="s">
        <v>24</v>
      </c>
      <c r="M546" s="2" t="s">
        <v>36</v>
      </c>
      <c r="N546" s="2" t="s">
        <v>26</v>
      </c>
      <c r="O546" s="2" t="s">
        <v>89</v>
      </c>
      <c r="P546" s="2" t="s">
        <v>28</v>
      </c>
      <c r="Q546" s="2" t="s">
        <v>833</v>
      </c>
    </row>
    <row r="547" spans="1:17">
      <c r="A547" s="2" t="s">
        <v>834</v>
      </c>
      <c r="B547" s="2" t="str">
        <f>[1]Sheet1!M547</f>
        <v>男</v>
      </c>
      <c r="C547" s="3" t="str" cm="1">
        <f t="array" ref="C5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47" s="2" t="str">
        <f>MID([1]Sheet1!F547,FIND("(",[1]Sheet1!F547)+1,FIND("-",[1]Sheet1!F547)-FIND("(",[1]Sheet1!F547)-1)</f>
        <v>广东</v>
      </c>
      <c r="E547" s="2" t="str">
        <f>MID([1]Sheet1!F547,FIND("-",[1]Sheet1!F547)+1,FIND(")",[1]Sheet1!F547)-FIND("-",[1]Sheet1!F547)-1)</f>
        <v>深圳</v>
      </c>
      <c r="F547" s="2" t="s">
        <v>159</v>
      </c>
      <c r="G547" s="2" t="s">
        <v>19</v>
      </c>
      <c r="H547" s="2" t="s">
        <v>33</v>
      </c>
      <c r="I547" s="2" t="s">
        <v>21</v>
      </c>
      <c r="J547" s="2" t="s">
        <v>82</v>
      </c>
      <c r="K547" s="2" t="s">
        <v>115</v>
      </c>
      <c r="L547" s="2" t="s">
        <v>83</v>
      </c>
      <c r="M547" s="2" t="s">
        <v>78</v>
      </c>
      <c r="N547" s="2" t="s">
        <v>105</v>
      </c>
      <c r="O547" s="2" t="s">
        <v>47</v>
      </c>
      <c r="P547" s="2" t="s">
        <v>86</v>
      </c>
      <c r="Q547" s="2" t="s">
        <v>835</v>
      </c>
    </row>
    <row r="548" spans="1:17">
      <c r="A548" s="2" t="s">
        <v>836</v>
      </c>
      <c r="B548" s="2" t="str">
        <f>[1]Sheet1!M548</f>
        <v>男</v>
      </c>
      <c r="C548" s="3" t="str" cm="1">
        <f t="array" ref="C5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48" s="2" t="str">
        <f>MID([1]Sheet1!F548,FIND("(",[1]Sheet1!F548)+1,FIND("-",[1]Sheet1!F548)-FIND("(",[1]Sheet1!F548)-1)</f>
        <v>广东</v>
      </c>
      <c r="E548" s="2" t="str">
        <f>MID([1]Sheet1!F548,FIND("-",[1]Sheet1!F548)+1,FIND(")",[1]Sheet1!F548)-FIND("-",[1]Sheet1!F548)-1)</f>
        <v>东莞</v>
      </c>
      <c r="F548" s="2" t="s">
        <v>88</v>
      </c>
      <c r="G548" s="2" t="s">
        <v>81</v>
      </c>
      <c r="H548" s="2" t="s">
        <v>55</v>
      </c>
      <c r="I548" s="2" t="s">
        <v>73</v>
      </c>
      <c r="J548" s="2" t="s">
        <v>77</v>
      </c>
      <c r="K548" s="2" t="s">
        <v>240</v>
      </c>
      <c r="L548" s="2" t="s">
        <v>24</v>
      </c>
      <c r="M548" s="2" t="s">
        <v>36</v>
      </c>
      <c r="N548" s="2" t="s">
        <v>37</v>
      </c>
      <c r="O548" s="2" t="s">
        <v>27</v>
      </c>
      <c r="P548" s="2" t="s">
        <v>59</v>
      </c>
      <c r="Q548" s="2" t="s">
        <v>837</v>
      </c>
    </row>
    <row r="549" spans="1:17">
      <c r="A549" s="2" t="s">
        <v>838</v>
      </c>
      <c r="B549" s="2" t="str">
        <f>[1]Sheet1!M549</f>
        <v>男</v>
      </c>
      <c r="C549" s="3" t="str" cm="1">
        <f t="array" ref="C5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549" s="2" t="str">
        <f>MID([1]Sheet1!F549,FIND("(",[1]Sheet1!F549)+1,FIND("-",[1]Sheet1!F549)-FIND("(",[1]Sheet1!F549)-1)</f>
        <v>河北</v>
      </c>
      <c r="E549" s="2" t="str">
        <f>MID([1]Sheet1!F549,FIND("-",[1]Sheet1!F549)+1,FIND(")",[1]Sheet1!F549)-FIND("-",[1]Sheet1!F549)-1)</f>
        <v>石家庄</v>
      </c>
      <c r="F549" s="2" t="s">
        <v>18</v>
      </c>
      <c r="G549" s="2" t="s">
        <v>81</v>
      </c>
      <c r="H549" s="2" t="s">
        <v>20</v>
      </c>
      <c r="I549" s="2" t="s">
        <v>43</v>
      </c>
      <c r="J549" s="2" t="s">
        <v>22</v>
      </c>
      <c r="K549" s="2" t="s">
        <v>115</v>
      </c>
      <c r="L549" s="2" t="s">
        <v>24</v>
      </c>
      <c r="M549" s="2" t="s">
        <v>36</v>
      </c>
      <c r="N549" s="2" t="s">
        <v>37</v>
      </c>
      <c r="O549" s="2" t="s">
        <v>27</v>
      </c>
      <c r="P549" s="2" t="s">
        <v>179</v>
      </c>
      <c r="Q549" s="2" t="s">
        <v>839</v>
      </c>
    </row>
    <row r="550" spans="1:17">
      <c r="A550" s="2" t="s">
        <v>610</v>
      </c>
      <c r="B550" s="2" t="str">
        <f>[1]Sheet1!M550</f>
        <v>男</v>
      </c>
      <c r="C550" s="3" t="str" cm="1">
        <f t="array" ref="C5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50" s="2" t="str">
        <f>MID([1]Sheet1!F550,FIND("(",[1]Sheet1!F550)+1,FIND("-",[1]Sheet1!F550)-FIND("(",[1]Sheet1!F550)-1)</f>
        <v>广东</v>
      </c>
      <c r="E550" s="2" t="str">
        <f>MID([1]Sheet1!F550,FIND("-",[1]Sheet1!F550)+1,FIND(")",[1]Sheet1!F550)-FIND("-",[1]Sheet1!F550)-1)</f>
        <v>广州</v>
      </c>
      <c r="F550" s="2" t="s">
        <v>31</v>
      </c>
      <c r="G550" s="2" t="s">
        <v>81</v>
      </c>
      <c r="H550" s="2" t="s">
        <v>33</v>
      </c>
      <c r="I550" s="2" t="s">
        <v>43</v>
      </c>
      <c r="J550" s="2" t="s">
        <v>22</v>
      </c>
      <c r="K550" s="2" t="s">
        <v>115</v>
      </c>
      <c r="L550" s="2" t="s">
        <v>24</v>
      </c>
      <c r="M550" s="2" t="s">
        <v>143</v>
      </c>
      <c r="N550" s="2" t="s">
        <v>37</v>
      </c>
      <c r="O550" s="2" t="s">
        <v>47</v>
      </c>
      <c r="P550" s="2" t="s">
        <v>28</v>
      </c>
      <c r="Q550" s="2" t="s">
        <v>840</v>
      </c>
    </row>
    <row r="551" spans="1:17">
      <c r="A551" s="2" t="s">
        <v>841</v>
      </c>
      <c r="B551" s="2" t="str">
        <f>[1]Sheet1!M551</f>
        <v>男</v>
      </c>
      <c r="C551" s="3" t="str" cm="1">
        <f t="array" ref="C5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51" s="2" t="str">
        <f>MID([1]Sheet1!F551,FIND("(",[1]Sheet1!F551)+1,FIND("-",[1]Sheet1!F551)-FIND("(",[1]Sheet1!F551)-1)</f>
        <v>安徽</v>
      </c>
      <c r="E551" s="2" t="str">
        <f>MID([1]Sheet1!F551,FIND("-",[1]Sheet1!F551)+1,FIND(")",[1]Sheet1!F551)-FIND("-",[1]Sheet1!F551)-1)</f>
        <v>合肥</v>
      </c>
      <c r="F551" s="2" t="s">
        <v>18</v>
      </c>
      <c r="G551" s="2" t="s">
        <v>81</v>
      </c>
      <c r="H551" s="2" t="s">
        <v>66</v>
      </c>
      <c r="I551" s="2" t="s">
        <v>43</v>
      </c>
      <c r="J551" s="2" t="s">
        <v>96</v>
      </c>
      <c r="K551" s="2" t="s">
        <v>117</v>
      </c>
      <c r="L551" s="2" t="s">
        <v>24</v>
      </c>
      <c r="M551" s="2" t="s">
        <v>111</v>
      </c>
      <c r="N551" s="2" t="s">
        <v>37</v>
      </c>
      <c r="O551" s="2" t="s">
        <v>47</v>
      </c>
      <c r="P551" s="2" t="s">
        <v>86</v>
      </c>
      <c r="Q551" s="2" t="s">
        <v>842</v>
      </c>
    </row>
    <row r="552" spans="1:17">
      <c r="A552" s="2" t="s">
        <v>843</v>
      </c>
      <c r="B552" s="2" t="str">
        <f>[1]Sheet1!M552</f>
        <v>男</v>
      </c>
      <c r="C552" s="3" t="str" cm="1">
        <f t="array" ref="C5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52" s="2" t="str">
        <f>MID([1]Sheet1!F552,FIND("(",[1]Sheet1!F552)+1,FIND("-",[1]Sheet1!F552)-FIND("(",[1]Sheet1!F552)-1)</f>
        <v>新疆</v>
      </c>
      <c r="E552" s="2" t="str">
        <f>MID([1]Sheet1!F552,FIND("-",[1]Sheet1!F552)+1,FIND(")",[1]Sheet1!F552)-FIND("-",[1]Sheet1!F552)-1)</f>
        <v>乌鲁木齐</v>
      </c>
      <c r="F552" s="2" t="s">
        <v>42</v>
      </c>
      <c r="G552" s="2" t="s">
        <v>32</v>
      </c>
      <c r="H552" s="2" t="s">
        <v>66</v>
      </c>
      <c r="I552" s="2" t="s">
        <v>51</v>
      </c>
      <c r="J552" s="2" t="s">
        <v>82</v>
      </c>
      <c r="K552" s="2" t="s">
        <v>412</v>
      </c>
      <c r="L552" s="2" t="s">
        <v>24</v>
      </c>
      <c r="M552" s="2" t="s">
        <v>36</v>
      </c>
      <c r="N552" s="2" t="s">
        <v>37</v>
      </c>
      <c r="O552" s="2" t="s">
        <v>422</v>
      </c>
      <c r="P552" s="2" t="s">
        <v>28</v>
      </c>
      <c r="Q552" s="2" t="s">
        <v>718</v>
      </c>
    </row>
    <row r="553" spans="1:17">
      <c r="A553" s="2" t="s">
        <v>237</v>
      </c>
      <c r="B553" s="2" t="str">
        <f>[1]Sheet1!M553</f>
        <v>男</v>
      </c>
      <c r="C553" s="3" t="str" cm="1">
        <f t="array" ref="C5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53" s="2" t="str">
        <f>MID([1]Sheet1!F553,FIND("(",[1]Sheet1!F553)+1,FIND("-",[1]Sheet1!F553)-FIND("(",[1]Sheet1!F553)-1)</f>
        <v>河南</v>
      </c>
      <c r="E553" s="2" t="str">
        <f>MID([1]Sheet1!F553,FIND("-",[1]Sheet1!F553)+1,FIND(")",[1]Sheet1!F553)-FIND("-",[1]Sheet1!F553)-1)</f>
        <v>南阳</v>
      </c>
      <c r="F553" s="2" t="s">
        <v>42</v>
      </c>
      <c r="G553" s="2" t="s">
        <v>50</v>
      </c>
      <c r="H553" s="2" t="s">
        <v>66</v>
      </c>
      <c r="I553" s="2" t="s">
        <v>21</v>
      </c>
      <c r="J553" s="2" t="s">
        <v>56</v>
      </c>
      <c r="K553" s="2" t="s">
        <v>117</v>
      </c>
      <c r="L553" s="2" t="s">
        <v>24</v>
      </c>
      <c r="M553" s="2" t="s">
        <v>111</v>
      </c>
      <c r="N553" s="2" t="s">
        <v>105</v>
      </c>
      <c r="O553" s="2" t="s">
        <v>47</v>
      </c>
      <c r="P553" s="2" t="s">
        <v>86</v>
      </c>
      <c r="Q553" s="2" t="s">
        <v>269</v>
      </c>
    </row>
    <row r="554" spans="1:17">
      <c r="A554" s="2" t="s">
        <v>844</v>
      </c>
      <c r="B554" s="2" t="str">
        <f>[1]Sheet1!M554</f>
        <v>男</v>
      </c>
      <c r="C554" s="3" t="str" cm="1">
        <f t="array" ref="C5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54" s="2" t="str">
        <f>MID([1]Sheet1!F554,FIND("(",[1]Sheet1!F554)+1,FIND("-",[1]Sheet1!F554)-FIND("(",[1]Sheet1!F554)-1)</f>
        <v>山东</v>
      </c>
      <c r="E554" s="2" t="str">
        <f>MID([1]Sheet1!F554,FIND("-",[1]Sheet1!F554)+1,FIND(")",[1]Sheet1!F554)-FIND("-",[1]Sheet1!F554)-1)</f>
        <v>青岛</v>
      </c>
      <c r="F554" s="2" t="s">
        <v>31</v>
      </c>
      <c r="G554" s="2" t="s">
        <v>50</v>
      </c>
      <c r="H554" s="2" t="s">
        <v>66</v>
      </c>
      <c r="I554" s="2" t="s">
        <v>51</v>
      </c>
      <c r="J554" s="2" t="s">
        <v>22</v>
      </c>
      <c r="K554" s="2" t="s">
        <v>110</v>
      </c>
      <c r="L554" s="2" t="s">
        <v>24</v>
      </c>
      <c r="M554" s="2" t="s">
        <v>36</v>
      </c>
      <c r="N554" s="2" t="s">
        <v>37</v>
      </c>
      <c r="O554" s="2" t="s">
        <v>47</v>
      </c>
      <c r="P554" s="2" t="s">
        <v>39</v>
      </c>
      <c r="Q554" s="2" t="s">
        <v>128</v>
      </c>
    </row>
    <row r="555" spans="1:17">
      <c r="A555" s="2" t="s">
        <v>845</v>
      </c>
      <c r="B555" s="2" t="str">
        <f>[1]Sheet1!M555</f>
        <v>男</v>
      </c>
      <c r="C555" s="3" t="str" cm="1">
        <f t="array" ref="C5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55" s="2" t="str">
        <f>MID([1]Sheet1!F555,FIND("(",[1]Sheet1!F555)+1,FIND("-",[1]Sheet1!F555)-FIND("(",[1]Sheet1!F555)-1)</f>
        <v>陕西</v>
      </c>
      <c r="E555" s="2" t="str">
        <f>MID([1]Sheet1!F555,FIND("-",[1]Sheet1!F555)+1,FIND(")",[1]Sheet1!F555)-FIND("-",[1]Sheet1!F555)-1)</f>
        <v>宝鸡</v>
      </c>
      <c r="F555" s="2" t="s">
        <v>88</v>
      </c>
      <c r="G555" s="2" t="s">
        <v>162</v>
      </c>
      <c r="H555" s="2" t="s">
        <v>33</v>
      </c>
      <c r="I555" s="2" t="s">
        <v>21</v>
      </c>
      <c r="J555" s="2" t="s">
        <v>77</v>
      </c>
      <c r="K555" s="2" t="s">
        <v>115</v>
      </c>
      <c r="L555" s="2" t="s">
        <v>24</v>
      </c>
      <c r="M555" s="2" t="s">
        <v>84</v>
      </c>
      <c r="N555" s="2" t="s">
        <v>26</v>
      </c>
      <c r="O555" s="2" t="s">
        <v>47</v>
      </c>
      <c r="P555" s="2" t="s">
        <v>175</v>
      </c>
      <c r="Q555" s="2" t="s">
        <v>846</v>
      </c>
    </row>
    <row r="556" spans="1:17">
      <c r="A556" s="2" t="s">
        <v>847</v>
      </c>
      <c r="B556" s="2" t="str">
        <f>[1]Sheet1!M556</f>
        <v>男</v>
      </c>
      <c r="C556" s="3" t="str" cm="1">
        <f t="array" ref="C5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56" s="2" t="str">
        <f>MID([1]Sheet1!F556,FIND("(",[1]Sheet1!F556)+1,FIND("-",[1]Sheet1!F556)-FIND("(",[1]Sheet1!F556)-1)</f>
        <v>广东</v>
      </c>
      <c r="E556" s="2" t="str">
        <f>MID([1]Sheet1!F556,FIND("-",[1]Sheet1!F556)+1,FIND(")",[1]Sheet1!F556)-FIND("-",[1]Sheet1!F556)-1)</f>
        <v>深圳</v>
      </c>
      <c r="F556" s="2" t="s">
        <v>31</v>
      </c>
      <c r="G556" s="2" t="s">
        <v>50</v>
      </c>
      <c r="H556" s="2" t="s">
        <v>20</v>
      </c>
      <c r="I556" s="2" t="s">
        <v>34</v>
      </c>
      <c r="J556" s="2" t="s">
        <v>82</v>
      </c>
      <c r="K556" s="2" t="s">
        <v>115</v>
      </c>
      <c r="L556" s="2" t="s">
        <v>24</v>
      </c>
      <c r="M556" s="2" t="s">
        <v>36</v>
      </c>
      <c r="N556" s="2" t="s">
        <v>26</v>
      </c>
      <c r="O556" s="2" t="s">
        <v>47</v>
      </c>
      <c r="P556" s="2" t="s">
        <v>86</v>
      </c>
      <c r="Q556" s="2" t="s">
        <v>103</v>
      </c>
    </row>
    <row r="557" spans="1:17">
      <c r="A557" s="2" t="s">
        <v>848</v>
      </c>
      <c r="B557" s="2" t="str">
        <f>[1]Sheet1!M557</f>
        <v>男</v>
      </c>
      <c r="C557" s="3" t="str" cm="1">
        <f t="array" ref="C5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57" s="2" t="str">
        <f>MID([1]Sheet1!F557,FIND("(",[1]Sheet1!F557)+1,FIND("-",[1]Sheet1!F557)-FIND("(",[1]Sheet1!F557)-1)</f>
        <v>贵州</v>
      </c>
      <c r="E557" s="2" t="str">
        <f>MID([1]Sheet1!F557,FIND("-",[1]Sheet1!F557)+1,FIND(")",[1]Sheet1!F557)-FIND("-",[1]Sheet1!F557)-1)</f>
        <v>黔南</v>
      </c>
      <c r="F557" s="2" t="s">
        <v>70</v>
      </c>
      <c r="G557" s="2" t="s">
        <v>50</v>
      </c>
      <c r="H557" s="2" t="s">
        <v>66</v>
      </c>
      <c r="I557" s="2" t="s">
        <v>120</v>
      </c>
      <c r="J557" s="2" t="s">
        <v>44</v>
      </c>
      <c r="K557" s="2" t="s">
        <v>130</v>
      </c>
      <c r="L557" s="2" t="s">
        <v>83</v>
      </c>
      <c r="M557" s="2" t="s">
        <v>36</v>
      </c>
      <c r="N557" s="2" t="s">
        <v>37</v>
      </c>
      <c r="O557" s="2" t="s">
        <v>58</v>
      </c>
      <c r="P557" s="2" t="s">
        <v>39</v>
      </c>
      <c r="Q557" s="2" t="s">
        <v>348</v>
      </c>
    </row>
    <row r="558" spans="1:17">
      <c r="A558" s="2" t="s">
        <v>849</v>
      </c>
      <c r="B558" s="2" t="str">
        <f>[1]Sheet1!M558</f>
        <v>男</v>
      </c>
      <c r="C558" s="3" t="str" cm="1">
        <f t="array" ref="C5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58" s="2" t="str">
        <f>MID([1]Sheet1!F558,FIND("(",[1]Sheet1!F558)+1,FIND("-",[1]Sheet1!F558)-FIND("(",[1]Sheet1!F558)-1)</f>
        <v>贵州</v>
      </c>
      <c r="E558" s="2" t="str">
        <f>MID([1]Sheet1!F558,FIND("-",[1]Sheet1!F558)+1,FIND(")",[1]Sheet1!F558)-FIND("-",[1]Sheet1!F558)-1)</f>
        <v>遵义</v>
      </c>
      <c r="F558" s="2" t="s">
        <v>42</v>
      </c>
      <c r="G558" s="2" t="s">
        <v>19</v>
      </c>
      <c r="H558" s="2" t="s">
        <v>33</v>
      </c>
      <c r="I558" s="2" t="s">
        <v>51</v>
      </c>
      <c r="J558" s="2" t="s">
        <v>44</v>
      </c>
      <c r="K558" s="2" t="s">
        <v>117</v>
      </c>
      <c r="L558" s="2" t="s">
        <v>24</v>
      </c>
      <c r="M558" s="2" t="s">
        <v>36</v>
      </c>
      <c r="N558" s="2" t="s">
        <v>37</v>
      </c>
      <c r="O558" s="2" t="s">
        <v>62</v>
      </c>
      <c r="P558" s="2" t="s">
        <v>39</v>
      </c>
      <c r="Q558" s="2" t="s">
        <v>479</v>
      </c>
    </row>
    <row r="559" spans="1:17">
      <c r="A559" s="2" t="s">
        <v>850</v>
      </c>
      <c r="B559" s="2" t="str">
        <f>[1]Sheet1!M559</f>
        <v>女</v>
      </c>
      <c r="C559" s="3" t="str" cm="1">
        <f t="array" ref="C5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59" s="2" t="str">
        <f>MID([1]Sheet1!F559,FIND("(",[1]Sheet1!F559)+1,FIND("-",[1]Sheet1!F559)-FIND("(",[1]Sheet1!F559)-1)</f>
        <v>河南</v>
      </c>
      <c r="E559" s="2" t="str">
        <f>MID([1]Sheet1!F559,FIND("-",[1]Sheet1!F559)+1,FIND(")",[1]Sheet1!F559)-FIND("-",[1]Sheet1!F559)-1)</f>
        <v>郑州</v>
      </c>
      <c r="F559" s="2" t="s">
        <v>18</v>
      </c>
      <c r="G559" s="2" t="s">
        <v>32</v>
      </c>
      <c r="H559" s="2" t="s">
        <v>66</v>
      </c>
      <c r="I559" s="2" t="s">
        <v>34</v>
      </c>
      <c r="J559" s="2" t="s">
        <v>44</v>
      </c>
      <c r="K559" s="2" t="s">
        <v>117</v>
      </c>
      <c r="L559" s="2" t="s">
        <v>24</v>
      </c>
      <c r="M559" s="2" t="s">
        <v>71</v>
      </c>
      <c r="N559" s="2" t="s">
        <v>37</v>
      </c>
      <c r="O559" s="2" t="s">
        <v>47</v>
      </c>
      <c r="P559" s="2" t="s">
        <v>59</v>
      </c>
      <c r="Q559" s="2" t="s">
        <v>29</v>
      </c>
    </row>
    <row r="560" spans="1:17">
      <c r="A560" s="2" t="s">
        <v>851</v>
      </c>
      <c r="B560" s="2" t="str">
        <f>[1]Sheet1!M560</f>
        <v>男</v>
      </c>
      <c r="C560" s="3" t="str" cm="1">
        <f t="array" ref="C5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560" s="2" t="str">
        <f>MID([1]Sheet1!F560,FIND("(",[1]Sheet1!F560)+1,FIND("-",[1]Sheet1!F560)-FIND("(",[1]Sheet1!F560)-1)</f>
        <v>江苏</v>
      </c>
      <c r="E560" s="2" t="str">
        <f>MID([1]Sheet1!F560,FIND("-",[1]Sheet1!F560)+1,FIND(")",[1]Sheet1!F560)-FIND("-",[1]Sheet1!F560)-1)</f>
        <v>无锡</v>
      </c>
      <c r="F560" s="2" t="s">
        <v>18</v>
      </c>
      <c r="G560" s="2" t="s">
        <v>81</v>
      </c>
      <c r="H560" s="2" t="s">
        <v>20</v>
      </c>
      <c r="I560" s="2" t="s">
        <v>51</v>
      </c>
      <c r="J560" s="2" t="s">
        <v>82</v>
      </c>
      <c r="K560" s="2" t="s">
        <v>117</v>
      </c>
      <c r="L560" s="2" t="s">
        <v>24</v>
      </c>
      <c r="M560" s="2" t="s">
        <v>78</v>
      </c>
      <c r="N560" s="2" t="s">
        <v>105</v>
      </c>
      <c r="O560" s="2" t="s">
        <v>47</v>
      </c>
      <c r="P560" s="2" t="s">
        <v>86</v>
      </c>
      <c r="Q560" s="2" t="s">
        <v>103</v>
      </c>
    </row>
    <row r="561" spans="1:17">
      <c r="A561" s="2" t="s">
        <v>852</v>
      </c>
      <c r="B561" s="2" t="str">
        <f>[1]Sheet1!M561</f>
        <v>男</v>
      </c>
      <c r="C561" s="3" t="str" cm="1">
        <f t="array" ref="C5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61" s="2" t="str">
        <f>MID([1]Sheet1!F561,FIND("(",[1]Sheet1!F561)+1,FIND("-",[1]Sheet1!F561)-FIND("(",[1]Sheet1!F561)-1)</f>
        <v>河南</v>
      </c>
      <c r="E561" s="2" t="str">
        <f>MID([1]Sheet1!F561,FIND("-",[1]Sheet1!F561)+1,FIND(")",[1]Sheet1!F561)-FIND("-",[1]Sheet1!F561)-1)</f>
        <v>郑州</v>
      </c>
      <c r="F561" s="2" t="s">
        <v>18</v>
      </c>
      <c r="G561" s="2" t="s">
        <v>81</v>
      </c>
      <c r="H561" s="2" t="s">
        <v>66</v>
      </c>
      <c r="I561" s="2" t="s">
        <v>43</v>
      </c>
      <c r="J561" s="2" t="s">
        <v>77</v>
      </c>
      <c r="K561" s="2" t="s">
        <v>402</v>
      </c>
      <c r="L561" s="2" t="s">
        <v>24</v>
      </c>
      <c r="M561" s="2" t="s">
        <v>36</v>
      </c>
      <c r="N561" s="2" t="s">
        <v>37</v>
      </c>
      <c r="O561" s="2" t="s">
        <v>47</v>
      </c>
      <c r="P561" s="2" t="s">
        <v>63</v>
      </c>
      <c r="Q561" s="2" t="s">
        <v>200</v>
      </c>
    </row>
    <row r="562" spans="1:17">
      <c r="A562" s="2" t="s">
        <v>853</v>
      </c>
      <c r="B562" s="2" t="str">
        <f>[1]Sheet1!M562</f>
        <v>男</v>
      </c>
      <c r="C562" s="3" t="str" cm="1">
        <f t="array" ref="C5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62" s="2" t="str">
        <f>MID([1]Sheet1!F562,FIND("(",[1]Sheet1!F562)+1,FIND("-",[1]Sheet1!F562)-FIND("(",[1]Sheet1!F562)-1)</f>
        <v>湖南</v>
      </c>
      <c r="E562" s="2" t="str">
        <f>MID([1]Sheet1!F562,FIND("-",[1]Sheet1!F562)+1,FIND(")",[1]Sheet1!F562)-FIND("-",[1]Sheet1!F562)-1)</f>
        <v>怀化</v>
      </c>
      <c r="F562" s="2" t="s">
        <v>31</v>
      </c>
      <c r="G562" s="2" t="s">
        <v>81</v>
      </c>
      <c r="H562" s="2" t="s">
        <v>20</v>
      </c>
      <c r="I562" s="2" t="s">
        <v>34</v>
      </c>
      <c r="J562" s="2" t="s">
        <v>82</v>
      </c>
      <c r="K562" s="2" t="s">
        <v>117</v>
      </c>
      <c r="L562" s="2" t="s">
        <v>24</v>
      </c>
      <c r="M562" s="2" t="s">
        <v>71</v>
      </c>
      <c r="N562" s="2" t="s">
        <v>85</v>
      </c>
      <c r="O562" s="2" t="s">
        <v>47</v>
      </c>
      <c r="P562" s="2" t="s">
        <v>39</v>
      </c>
      <c r="Q562" s="2" t="s">
        <v>172</v>
      </c>
    </row>
    <row r="563" spans="1:17">
      <c r="A563" s="2" t="s">
        <v>854</v>
      </c>
      <c r="B563" s="2" t="str">
        <f>[1]Sheet1!M563</f>
        <v>男</v>
      </c>
      <c r="C563" s="3" t="str" cm="1">
        <f t="array" ref="C5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63" s="2" t="str">
        <f>MID([1]Sheet1!F563,FIND("(",[1]Sheet1!F563)+1,FIND("-",[1]Sheet1!F563)-FIND("(",[1]Sheet1!F563)-1)</f>
        <v>陕西</v>
      </c>
      <c r="E563" s="2" t="str">
        <f>MID([1]Sheet1!F563,FIND("-",[1]Sheet1!F563)+1,FIND(")",[1]Sheet1!F563)-FIND("-",[1]Sheet1!F563)-1)</f>
        <v>西安</v>
      </c>
      <c r="F563" s="2" t="s">
        <v>31</v>
      </c>
      <c r="G563" s="2" t="s">
        <v>81</v>
      </c>
      <c r="H563" s="2" t="s">
        <v>66</v>
      </c>
      <c r="I563" s="2" t="s">
        <v>120</v>
      </c>
      <c r="J563" s="2" t="s">
        <v>77</v>
      </c>
      <c r="K563" s="2" t="s">
        <v>121</v>
      </c>
      <c r="L563" s="2" t="s">
        <v>24</v>
      </c>
      <c r="M563" s="2" t="s">
        <v>36</v>
      </c>
      <c r="N563" s="2" t="s">
        <v>85</v>
      </c>
      <c r="O563" s="2" t="s">
        <v>27</v>
      </c>
      <c r="P563" s="2" t="s">
        <v>86</v>
      </c>
      <c r="Q563" s="2" t="s">
        <v>183</v>
      </c>
    </row>
    <row r="564" spans="1:17">
      <c r="A564" s="2" t="s">
        <v>855</v>
      </c>
      <c r="B564" s="2" t="str">
        <f>[1]Sheet1!M564</f>
        <v>女</v>
      </c>
      <c r="C564" s="3" t="str" cm="1">
        <f t="array" ref="C5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64" s="2" t="str">
        <f>MID([1]Sheet1!F564,FIND("(",[1]Sheet1!F564)+1,FIND("-",[1]Sheet1!F564)-FIND("(",[1]Sheet1!F564)-1)</f>
        <v>广东</v>
      </c>
      <c r="E564" s="2" t="str">
        <f>MID([1]Sheet1!F564,FIND("-",[1]Sheet1!F564)+1,FIND(")",[1]Sheet1!F564)-FIND("-",[1]Sheet1!F564)-1)</f>
        <v>汕头</v>
      </c>
      <c r="F564" s="2" t="s">
        <v>31</v>
      </c>
      <c r="G564" s="2" t="s">
        <v>81</v>
      </c>
      <c r="H564" s="2" t="s">
        <v>20</v>
      </c>
      <c r="I564" s="2" t="s">
        <v>43</v>
      </c>
      <c r="J564" s="2" t="s">
        <v>44</v>
      </c>
      <c r="K564" s="2" t="s">
        <v>115</v>
      </c>
      <c r="L564" s="2" t="s">
        <v>83</v>
      </c>
      <c r="M564" s="2" t="s">
        <v>143</v>
      </c>
      <c r="N564" s="2" t="s">
        <v>37</v>
      </c>
      <c r="O564" s="2" t="s">
        <v>27</v>
      </c>
      <c r="P564" s="2" t="s">
        <v>28</v>
      </c>
      <c r="Q564" s="2" t="s">
        <v>29</v>
      </c>
    </row>
    <row r="565" spans="1:17">
      <c r="A565" s="2" t="s">
        <v>856</v>
      </c>
      <c r="B565" s="2" t="str">
        <f>[1]Sheet1!M565</f>
        <v>女</v>
      </c>
      <c r="C565" s="3" t="str" cm="1">
        <f t="array" ref="C5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565" s="2" t="str">
        <f>MID([1]Sheet1!F565,FIND("(",[1]Sheet1!F565)+1,FIND("-",[1]Sheet1!F565)-FIND("(",[1]Sheet1!F565)-1)</f>
        <v>河北</v>
      </c>
      <c r="E565" s="2" t="str">
        <f>MID([1]Sheet1!F565,FIND("-",[1]Sheet1!F565)+1,FIND(")",[1]Sheet1!F565)-FIND("-",[1]Sheet1!F565)-1)</f>
        <v>秦皇岛</v>
      </c>
      <c r="F565" s="2" t="s">
        <v>31</v>
      </c>
      <c r="G565" s="2" t="s">
        <v>32</v>
      </c>
      <c r="H565" s="2" t="s">
        <v>66</v>
      </c>
      <c r="I565" s="2" t="s">
        <v>43</v>
      </c>
      <c r="J565" s="2" t="s">
        <v>82</v>
      </c>
      <c r="K565" s="2" t="s">
        <v>217</v>
      </c>
      <c r="L565" s="2" t="s">
        <v>24</v>
      </c>
      <c r="M565" s="2" t="s">
        <v>36</v>
      </c>
      <c r="N565" s="2" t="s">
        <v>37</v>
      </c>
      <c r="O565" s="2" t="s">
        <v>235</v>
      </c>
      <c r="P565" s="2" t="s">
        <v>85</v>
      </c>
      <c r="Q565" s="2" t="s">
        <v>714</v>
      </c>
    </row>
    <row r="566" spans="1:17">
      <c r="A566" s="2" t="s">
        <v>705</v>
      </c>
      <c r="B566" s="2" t="str">
        <f>[1]Sheet1!M566</f>
        <v>女</v>
      </c>
      <c r="C566" s="3" t="str" cm="1">
        <f t="array" ref="C5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66" s="2" t="str">
        <f>MID([1]Sheet1!F566,FIND("(",[1]Sheet1!F566)+1,FIND("-",[1]Sheet1!F566)-FIND("(",[1]Sheet1!F566)-1)</f>
        <v>广西</v>
      </c>
      <c r="E566" s="2" t="str">
        <f>MID([1]Sheet1!F566,FIND("-",[1]Sheet1!F566)+1,FIND(")",[1]Sheet1!F566)-FIND("-",[1]Sheet1!F566)-1)</f>
        <v>柳州</v>
      </c>
      <c r="F566" s="2" t="s">
        <v>42</v>
      </c>
      <c r="G566" s="2" t="s">
        <v>81</v>
      </c>
      <c r="H566" s="2" t="s">
        <v>20</v>
      </c>
      <c r="I566" s="2" t="s">
        <v>21</v>
      </c>
      <c r="J566" s="2" t="s">
        <v>56</v>
      </c>
      <c r="K566" s="2" t="s">
        <v>117</v>
      </c>
      <c r="L566" s="2" t="s">
        <v>24</v>
      </c>
      <c r="M566" s="2" t="s">
        <v>25</v>
      </c>
      <c r="N566" s="2" t="s">
        <v>105</v>
      </c>
      <c r="O566" s="2" t="s">
        <v>202</v>
      </c>
      <c r="P566" s="2" t="s">
        <v>39</v>
      </c>
      <c r="Q566" s="2" t="s">
        <v>48</v>
      </c>
    </row>
    <row r="567" spans="1:17">
      <c r="A567" s="2" t="s">
        <v>857</v>
      </c>
      <c r="B567" s="2" t="str">
        <f>[1]Sheet1!M567</f>
        <v>男</v>
      </c>
      <c r="C567" s="3" t="str" cm="1">
        <f t="array" ref="C5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67" s="2" t="str">
        <f>MID([1]Sheet1!F567,FIND("(",[1]Sheet1!F567)+1,FIND("-",[1]Sheet1!F567)-FIND("(",[1]Sheet1!F567)-1)</f>
        <v>湖北</v>
      </c>
      <c r="E567" s="2" t="str">
        <f>MID([1]Sheet1!F567,FIND("-",[1]Sheet1!F567)+1,FIND(")",[1]Sheet1!F567)-FIND("-",[1]Sheet1!F567)-1)</f>
        <v>武汉</v>
      </c>
      <c r="F567" s="2" t="s">
        <v>42</v>
      </c>
      <c r="G567" s="2" t="s">
        <v>32</v>
      </c>
      <c r="H567" s="2" t="s">
        <v>20</v>
      </c>
      <c r="I567" s="2" t="s">
        <v>43</v>
      </c>
      <c r="J567" s="2" t="s">
        <v>82</v>
      </c>
      <c r="K567" s="2" t="s">
        <v>115</v>
      </c>
      <c r="L567" s="2" t="s">
        <v>24</v>
      </c>
      <c r="M567" s="2" t="s">
        <v>36</v>
      </c>
      <c r="N567" s="2" t="s">
        <v>37</v>
      </c>
      <c r="O567" s="2" t="s">
        <v>47</v>
      </c>
      <c r="P567" s="2" t="s">
        <v>28</v>
      </c>
      <c r="Q567" s="2" t="s">
        <v>103</v>
      </c>
    </row>
    <row r="568" spans="1:17">
      <c r="A568" s="2" t="s">
        <v>858</v>
      </c>
      <c r="B568" s="2" t="str">
        <f>[1]Sheet1!M568</f>
        <v>男</v>
      </c>
      <c r="C568" s="3" t="str" cm="1">
        <f t="array" ref="C5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68" s="2" t="str">
        <f>MID([1]Sheet1!F568,FIND("(",[1]Sheet1!F568)+1,FIND("-",[1]Sheet1!F568)-FIND("(",[1]Sheet1!F568)-1)</f>
        <v>广西</v>
      </c>
      <c r="E568" s="2" t="str">
        <f>MID([1]Sheet1!F568,FIND("-",[1]Sheet1!F568)+1,FIND(")",[1]Sheet1!F568)-FIND("-",[1]Sheet1!F568)-1)</f>
        <v>柳州</v>
      </c>
      <c r="F568" s="2" t="s">
        <v>159</v>
      </c>
      <c r="G568" s="2" t="s">
        <v>50</v>
      </c>
      <c r="H568" s="2" t="s">
        <v>55</v>
      </c>
      <c r="I568" s="2" t="s">
        <v>34</v>
      </c>
      <c r="J568" s="2" t="s">
        <v>77</v>
      </c>
      <c r="K568" s="2" t="s">
        <v>130</v>
      </c>
      <c r="L568" s="2" t="s">
        <v>24</v>
      </c>
      <c r="M568" s="2" t="s">
        <v>126</v>
      </c>
      <c r="N568" s="2" t="s">
        <v>46</v>
      </c>
      <c r="O568" s="2" t="s">
        <v>47</v>
      </c>
      <c r="P568" s="2" t="s">
        <v>28</v>
      </c>
      <c r="Q568" s="2" t="s">
        <v>48</v>
      </c>
    </row>
    <row r="569" spans="1:17">
      <c r="A569" s="2" t="s">
        <v>859</v>
      </c>
      <c r="B569" s="2" t="str">
        <f>[1]Sheet1!M569</f>
        <v>男</v>
      </c>
      <c r="C569" s="3" t="str" cm="1">
        <f t="array" ref="C5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569" s="2" t="str">
        <f>MID([1]Sheet1!F569,FIND("(",[1]Sheet1!F569)+1,FIND("-",[1]Sheet1!F569)-FIND("(",[1]Sheet1!F569)-1)</f>
        <v>吉林</v>
      </c>
      <c r="E569" s="2" t="str">
        <f>MID([1]Sheet1!F569,FIND("-",[1]Sheet1!F569)+1,FIND(")",[1]Sheet1!F569)-FIND("-",[1]Sheet1!F569)-1)</f>
        <v>长春</v>
      </c>
      <c r="F569" s="2" t="s">
        <v>42</v>
      </c>
      <c r="G569" s="2" t="s">
        <v>32</v>
      </c>
      <c r="H569" s="2" t="s">
        <v>66</v>
      </c>
      <c r="I569" s="2" t="s">
        <v>21</v>
      </c>
      <c r="J569" s="2" t="s">
        <v>96</v>
      </c>
      <c r="K569" s="2" t="s">
        <v>307</v>
      </c>
      <c r="L569" s="2" t="s">
        <v>24</v>
      </c>
      <c r="M569" s="2" t="s">
        <v>36</v>
      </c>
      <c r="N569" s="2" t="s">
        <v>37</v>
      </c>
      <c r="O569" s="2" t="s">
        <v>545</v>
      </c>
      <c r="P569" s="2" t="s">
        <v>86</v>
      </c>
      <c r="Q569" s="2" t="s">
        <v>160</v>
      </c>
    </row>
    <row r="570" spans="1:17">
      <c r="A570" s="2" t="s">
        <v>860</v>
      </c>
      <c r="B570" s="2" t="str">
        <f>[1]Sheet1!M570</f>
        <v>男</v>
      </c>
      <c r="C570" s="3" t="str" cm="1">
        <f t="array" ref="C5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70" s="2" t="str">
        <f>MID([1]Sheet1!F570,FIND("(",[1]Sheet1!F570)+1,FIND("-",[1]Sheet1!F570)-FIND("(",[1]Sheet1!F570)-1)</f>
        <v>山东</v>
      </c>
      <c r="E570" s="2" t="str">
        <f>MID([1]Sheet1!F570,FIND("-",[1]Sheet1!F570)+1,FIND(")",[1]Sheet1!F570)-FIND("-",[1]Sheet1!F570)-1)</f>
        <v>济南</v>
      </c>
      <c r="F570" s="2" t="s">
        <v>31</v>
      </c>
      <c r="G570" s="2" t="s">
        <v>50</v>
      </c>
      <c r="H570" s="2" t="s">
        <v>33</v>
      </c>
      <c r="I570" s="2" t="s">
        <v>120</v>
      </c>
      <c r="J570" s="2" t="s">
        <v>44</v>
      </c>
      <c r="K570" s="2" t="s">
        <v>169</v>
      </c>
      <c r="L570" s="2" t="s">
        <v>24</v>
      </c>
      <c r="M570" s="2" t="s">
        <v>25</v>
      </c>
      <c r="N570" s="2" t="s">
        <v>37</v>
      </c>
      <c r="O570" s="2" t="s">
        <v>545</v>
      </c>
      <c r="P570" s="2" t="s">
        <v>39</v>
      </c>
      <c r="Q570" s="2" t="s">
        <v>48</v>
      </c>
    </row>
    <row r="571" spans="1:17">
      <c r="A571" s="2" t="s">
        <v>861</v>
      </c>
      <c r="B571" s="2" t="str">
        <f>[1]Sheet1!M571</f>
        <v>男</v>
      </c>
      <c r="C571" s="3" t="str" cm="1">
        <f t="array" ref="C5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71" s="2" t="str">
        <f>MID([1]Sheet1!F571,FIND("(",[1]Sheet1!F571)+1,FIND("-",[1]Sheet1!F571)-FIND("(",[1]Sheet1!F571)-1)</f>
        <v>山东</v>
      </c>
      <c r="E571" s="2" t="str">
        <f>MID([1]Sheet1!F571,FIND("-",[1]Sheet1!F571)+1,FIND(")",[1]Sheet1!F571)-FIND("-",[1]Sheet1!F571)-1)</f>
        <v>济南</v>
      </c>
      <c r="F571" s="2" t="s">
        <v>31</v>
      </c>
      <c r="G571" s="2" t="s">
        <v>50</v>
      </c>
      <c r="H571" s="2" t="s">
        <v>55</v>
      </c>
      <c r="I571" s="2" t="s">
        <v>34</v>
      </c>
      <c r="J571" s="2" t="s">
        <v>22</v>
      </c>
      <c r="K571" s="2" t="s">
        <v>121</v>
      </c>
      <c r="L571" s="2" t="s">
        <v>24</v>
      </c>
      <c r="M571" s="2" t="s">
        <v>25</v>
      </c>
      <c r="N571" s="2" t="s">
        <v>37</v>
      </c>
      <c r="O571" s="2" t="s">
        <v>122</v>
      </c>
      <c r="P571" s="2" t="s">
        <v>63</v>
      </c>
      <c r="Q571" s="2" t="s">
        <v>68</v>
      </c>
    </row>
    <row r="572" spans="1:17">
      <c r="A572" s="2" t="s">
        <v>862</v>
      </c>
      <c r="B572" s="2" t="str">
        <f>[1]Sheet1!M572</f>
        <v>男</v>
      </c>
      <c r="C572" s="3" t="str" cm="1">
        <f t="array" ref="C5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72" s="2" t="str">
        <f>MID([1]Sheet1!F572,FIND("(",[1]Sheet1!F572)+1,FIND("-",[1]Sheet1!F572)-FIND("(",[1]Sheet1!F572)-1)</f>
        <v>重庆</v>
      </c>
      <c r="E572" s="2" t="str">
        <f>MID([1]Sheet1!F572,FIND("-",[1]Sheet1!F572)+1,FIND(")",[1]Sheet1!F572)-FIND("-",[1]Sheet1!F572)-1)</f>
        <v>重庆</v>
      </c>
      <c r="F572" s="2" t="s">
        <v>42</v>
      </c>
      <c r="G572" s="2" t="s">
        <v>32</v>
      </c>
      <c r="H572" s="2" t="s">
        <v>66</v>
      </c>
      <c r="I572" s="2" t="s">
        <v>51</v>
      </c>
      <c r="J572" s="2" t="s">
        <v>96</v>
      </c>
      <c r="K572" s="2" t="s">
        <v>130</v>
      </c>
      <c r="L572" s="2" t="s">
        <v>83</v>
      </c>
      <c r="M572" s="2" t="s">
        <v>36</v>
      </c>
      <c r="N572" s="2" t="s">
        <v>85</v>
      </c>
      <c r="O572" s="2" t="s">
        <v>316</v>
      </c>
      <c r="P572" s="2" t="s">
        <v>179</v>
      </c>
      <c r="Q572" s="2" t="s">
        <v>441</v>
      </c>
    </row>
    <row r="573" spans="1:17">
      <c r="A573" s="2" t="s">
        <v>863</v>
      </c>
      <c r="B573" s="2" t="str">
        <f>[1]Sheet1!M573</f>
        <v>男</v>
      </c>
      <c r="C573" s="3" t="str" cm="1">
        <f t="array" ref="C5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73" s="2" t="str">
        <f>MID([1]Sheet1!F573,FIND("(",[1]Sheet1!F573)+1,FIND("-",[1]Sheet1!F573)-FIND("(",[1]Sheet1!F573)-1)</f>
        <v>山东</v>
      </c>
      <c r="E573" s="2" t="str">
        <f>MID([1]Sheet1!F573,FIND("-",[1]Sheet1!F573)+1,FIND(")",[1]Sheet1!F573)-FIND("-",[1]Sheet1!F573)-1)</f>
        <v>聊城</v>
      </c>
      <c r="F573" s="2" t="s">
        <v>42</v>
      </c>
      <c r="G573" s="2" t="s">
        <v>19</v>
      </c>
      <c r="H573" s="2" t="s">
        <v>66</v>
      </c>
      <c r="I573" s="2" t="s">
        <v>51</v>
      </c>
      <c r="J573" s="2" t="s">
        <v>56</v>
      </c>
      <c r="K573" s="2" t="s">
        <v>117</v>
      </c>
      <c r="L573" s="2" t="s">
        <v>24</v>
      </c>
      <c r="M573" s="2" t="s">
        <v>36</v>
      </c>
      <c r="N573" s="2" t="s">
        <v>37</v>
      </c>
      <c r="O573" s="2" t="s">
        <v>27</v>
      </c>
      <c r="P573" s="2" t="s">
        <v>86</v>
      </c>
      <c r="Q573" s="2" t="s">
        <v>275</v>
      </c>
    </row>
    <row r="574" spans="1:17">
      <c r="A574" s="2" t="s">
        <v>864</v>
      </c>
      <c r="B574" s="2" t="str">
        <f>[1]Sheet1!M574</f>
        <v>男</v>
      </c>
      <c r="C574" s="3" t="str" cm="1">
        <f t="array" ref="C5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574" s="2" t="str">
        <f>MID([1]Sheet1!F574,FIND("(",[1]Sheet1!F574)+1,FIND("-",[1]Sheet1!F574)-FIND("(",[1]Sheet1!F574)-1)</f>
        <v>辽宁</v>
      </c>
      <c r="E574" s="2" t="str">
        <f>MID([1]Sheet1!F574,FIND("-",[1]Sheet1!F574)+1,FIND(")",[1]Sheet1!F574)-FIND("-",[1]Sheet1!F574)-1)</f>
        <v>锦州</v>
      </c>
      <c r="F574" s="2" t="s">
        <v>159</v>
      </c>
      <c r="G574" s="2" t="s">
        <v>32</v>
      </c>
      <c r="H574" s="2" t="s">
        <v>66</v>
      </c>
      <c r="I574" s="2" t="s">
        <v>51</v>
      </c>
      <c r="J574" s="2" t="s">
        <v>56</v>
      </c>
      <c r="K574" s="2" t="s">
        <v>117</v>
      </c>
      <c r="L574" s="2" t="s">
        <v>24</v>
      </c>
      <c r="M574" s="2" t="s">
        <v>681</v>
      </c>
      <c r="N574" s="2" t="s">
        <v>46</v>
      </c>
      <c r="O574" s="2" t="s">
        <v>545</v>
      </c>
      <c r="P574" s="2" t="s">
        <v>39</v>
      </c>
      <c r="Q574" s="2" t="s">
        <v>118</v>
      </c>
    </row>
    <row r="575" spans="1:17">
      <c r="A575" s="2" t="s">
        <v>865</v>
      </c>
      <c r="B575" s="2" t="str">
        <f>[1]Sheet1!M575</f>
        <v>男</v>
      </c>
      <c r="C575" s="3" t="str" cm="1">
        <f t="array" ref="C5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75" s="2" t="str">
        <f>MID([1]Sheet1!F575,FIND("(",[1]Sheet1!F575)+1,FIND("-",[1]Sheet1!F575)-FIND("(",[1]Sheet1!F575)-1)</f>
        <v>四川</v>
      </c>
      <c r="E575" s="2" t="str">
        <f>MID([1]Sheet1!F575,FIND("-",[1]Sheet1!F575)+1,FIND(")",[1]Sheet1!F575)-FIND("-",[1]Sheet1!F575)-1)</f>
        <v>南充</v>
      </c>
      <c r="F575" s="2" t="s">
        <v>88</v>
      </c>
      <c r="G575" s="2" t="s">
        <v>32</v>
      </c>
      <c r="H575" s="2" t="s">
        <v>66</v>
      </c>
      <c r="I575" s="2" t="s">
        <v>43</v>
      </c>
      <c r="J575" s="2" t="s">
        <v>56</v>
      </c>
      <c r="K575" s="2" t="s">
        <v>115</v>
      </c>
      <c r="L575" s="2" t="s">
        <v>24</v>
      </c>
      <c r="M575" s="2" t="s">
        <v>67</v>
      </c>
      <c r="N575" s="2" t="s">
        <v>26</v>
      </c>
      <c r="O575" s="2" t="s">
        <v>47</v>
      </c>
      <c r="P575" s="2" t="s">
        <v>59</v>
      </c>
      <c r="Q575" s="2" t="s">
        <v>866</v>
      </c>
    </row>
    <row r="576" spans="1:17">
      <c r="A576" s="2" t="s">
        <v>867</v>
      </c>
      <c r="B576" s="2" t="str">
        <f>[1]Sheet1!M576</f>
        <v>男</v>
      </c>
      <c r="C576" s="3" t="str" cm="1">
        <f t="array" ref="C5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76" s="2" t="str">
        <f>MID([1]Sheet1!F576,FIND("(",[1]Sheet1!F576)+1,FIND("-",[1]Sheet1!F576)-FIND("(",[1]Sheet1!F576)-1)</f>
        <v>安徽</v>
      </c>
      <c r="E576" s="2" t="str">
        <f>MID([1]Sheet1!F576,FIND("-",[1]Sheet1!F576)+1,FIND(")",[1]Sheet1!F576)-FIND("-",[1]Sheet1!F576)-1)</f>
        <v>合肥</v>
      </c>
      <c r="F576" s="2" t="s">
        <v>18</v>
      </c>
      <c r="G576" s="2" t="s">
        <v>32</v>
      </c>
      <c r="H576" s="2" t="s">
        <v>20</v>
      </c>
      <c r="I576" s="2" t="s">
        <v>51</v>
      </c>
      <c r="J576" s="2" t="s">
        <v>77</v>
      </c>
      <c r="K576" s="2" t="s">
        <v>130</v>
      </c>
      <c r="L576" s="2" t="s">
        <v>24</v>
      </c>
      <c r="M576" s="2" t="s">
        <v>36</v>
      </c>
      <c r="N576" s="2" t="s">
        <v>85</v>
      </c>
      <c r="O576" s="2" t="s">
        <v>47</v>
      </c>
      <c r="P576" s="2" t="s">
        <v>39</v>
      </c>
      <c r="Q576" s="2" t="s">
        <v>75</v>
      </c>
    </row>
    <row r="577" spans="1:17">
      <c r="A577" s="2" t="s">
        <v>868</v>
      </c>
      <c r="B577" s="2" t="str">
        <f>[1]Sheet1!M577</f>
        <v>男</v>
      </c>
      <c r="C577" s="3" t="str" cm="1">
        <f t="array" ref="C5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77" s="2" t="str">
        <f>MID([1]Sheet1!F577,FIND("(",[1]Sheet1!F577)+1,FIND("-",[1]Sheet1!F577)-FIND("(",[1]Sheet1!F577)-1)</f>
        <v>重庆</v>
      </c>
      <c r="E577" s="2" t="str">
        <f>MID([1]Sheet1!F577,FIND("-",[1]Sheet1!F577)+1,FIND(")",[1]Sheet1!F577)-FIND("-",[1]Sheet1!F577)-1)</f>
        <v>重庆</v>
      </c>
      <c r="F577" s="2" t="s">
        <v>42</v>
      </c>
      <c r="G577" s="2" t="s">
        <v>50</v>
      </c>
      <c r="H577" s="2" t="s">
        <v>20</v>
      </c>
      <c r="I577" s="2" t="s">
        <v>51</v>
      </c>
      <c r="J577" s="2" t="s">
        <v>22</v>
      </c>
      <c r="K577" s="2" t="s">
        <v>121</v>
      </c>
      <c r="L577" s="2" t="s">
        <v>24</v>
      </c>
      <c r="M577" s="2" t="s">
        <v>111</v>
      </c>
      <c r="N577" s="2" t="s">
        <v>46</v>
      </c>
      <c r="O577" s="2" t="s">
        <v>47</v>
      </c>
      <c r="P577" s="2" t="s">
        <v>63</v>
      </c>
      <c r="Q577" s="2" t="s">
        <v>193</v>
      </c>
    </row>
    <row r="578" spans="1:17">
      <c r="A578" s="2" t="s">
        <v>702</v>
      </c>
      <c r="B578" s="2" t="str">
        <f>[1]Sheet1!M578</f>
        <v>女</v>
      </c>
      <c r="C578" s="3" t="str" cm="1">
        <f t="array" ref="C5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78" s="2" t="str">
        <f>MID([1]Sheet1!F578,FIND("(",[1]Sheet1!F578)+1,FIND("-",[1]Sheet1!F578)-FIND("(",[1]Sheet1!F578)-1)</f>
        <v>山东</v>
      </c>
      <c r="E578" s="2" t="str">
        <f>MID([1]Sheet1!F578,FIND("-",[1]Sheet1!F578)+1,FIND(")",[1]Sheet1!F578)-FIND("-",[1]Sheet1!F578)-1)</f>
        <v>淄博</v>
      </c>
      <c r="F578" s="2" t="s">
        <v>42</v>
      </c>
      <c r="G578" s="2" t="s">
        <v>32</v>
      </c>
      <c r="H578" s="2" t="s">
        <v>20</v>
      </c>
      <c r="I578" s="2" t="s">
        <v>34</v>
      </c>
      <c r="J578" s="2" t="s">
        <v>44</v>
      </c>
      <c r="K578" s="2" t="s">
        <v>240</v>
      </c>
      <c r="L578" s="2" t="s">
        <v>24</v>
      </c>
      <c r="M578" s="2" t="s">
        <v>67</v>
      </c>
      <c r="N578" s="2" t="s">
        <v>37</v>
      </c>
      <c r="O578" s="2" t="s">
        <v>545</v>
      </c>
      <c r="P578" s="2" t="s">
        <v>39</v>
      </c>
      <c r="Q578" s="2" t="s">
        <v>150</v>
      </c>
    </row>
    <row r="579" spans="1:17">
      <c r="A579" s="2" t="s">
        <v>869</v>
      </c>
      <c r="B579" s="2" t="str">
        <f>[1]Sheet1!M579</f>
        <v>男</v>
      </c>
      <c r="C579" s="3" t="str" cm="1">
        <f t="array" ref="C5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79" s="2" t="str">
        <f>MID([1]Sheet1!F579,FIND("(",[1]Sheet1!F579)+1,FIND("-",[1]Sheet1!F579)-FIND("(",[1]Sheet1!F579)-1)</f>
        <v>安徽</v>
      </c>
      <c r="E579" s="2" t="str">
        <f>MID([1]Sheet1!F579,FIND("-",[1]Sheet1!F579)+1,FIND(")",[1]Sheet1!F579)-FIND("-",[1]Sheet1!F579)-1)</f>
        <v>合肥</v>
      </c>
      <c r="F579" s="2" t="s">
        <v>159</v>
      </c>
      <c r="G579" s="2" t="s">
        <v>50</v>
      </c>
      <c r="H579" s="2" t="s">
        <v>20</v>
      </c>
      <c r="I579" s="2" t="s">
        <v>21</v>
      </c>
      <c r="J579" s="2" t="s">
        <v>35</v>
      </c>
      <c r="K579" s="2" t="s">
        <v>240</v>
      </c>
      <c r="L579" s="2" t="s">
        <v>24</v>
      </c>
      <c r="M579" s="2" t="s">
        <v>84</v>
      </c>
      <c r="N579" s="2" t="s">
        <v>46</v>
      </c>
      <c r="O579" s="2" t="s">
        <v>301</v>
      </c>
      <c r="P579" s="2" t="s">
        <v>63</v>
      </c>
      <c r="Q579" s="2" t="s">
        <v>275</v>
      </c>
    </row>
    <row r="580" spans="1:17">
      <c r="A580" s="2" t="s">
        <v>869</v>
      </c>
      <c r="B580" s="2" t="str">
        <f>[1]Sheet1!M580</f>
        <v>男</v>
      </c>
      <c r="C580" s="3" t="str" cm="1">
        <f t="array" ref="C5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80" s="2" t="str">
        <f>MID([1]Sheet1!F580,FIND("(",[1]Sheet1!F580)+1,FIND("-",[1]Sheet1!F580)-FIND("(",[1]Sheet1!F580)-1)</f>
        <v>安徽</v>
      </c>
      <c r="E580" s="2" t="str">
        <f>MID([1]Sheet1!F580,FIND("-",[1]Sheet1!F580)+1,FIND(")",[1]Sheet1!F580)-FIND("-",[1]Sheet1!F580)-1)</f>
        <v>合肥</v>
      </c>
      <c r="F580" s="2" t="s">
        <v>159</v>
      </c>
      <c r="G580" s="2" t="s">
        <v>50</v>
      </c>
      <c r="H580" s="2" t="s">
        <v>20</v>
      </c>
      <c r="I580" s="2" t="s">
        <v>21</v>
      </c>
      <c r="J580" s="2" t="s">
        <v>35</v>
      </c>
      <c r="K580" s="2" t="s">
        <v>121</v>
      </c>
      <c r="L580" s="2" t="s">
        <v>24</v>
      </c>
      <c r="M580" s="2" t="s">
        <v>111</v>
      </c>
      <c r="N580" s="2" t="s">
        <v>46</v>
      </c>
      <c r="O580" s="2" t="s">
        <v>301</v>
      </c>
      <c r="P580" s="2" t="s">
        <v>289</v>
      </c>
      <c r="Q580" s="2" t="s">
        <v>310</v>
      </c>
    </row>
    <row r="581" spans="1:17">
      <c r="A581" s="2" t="s">
        <v>870</v>
      </c>
      <c r="B581" s="2" t="str">
        <f>[1]Sheet1!M581</f>
        <v>男</v>
      </c>
      <c r="C581" s="3" t="str" cm="1">
        <f t="array" ref="C5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81" s="2" t="str">
        <f>MID([1]Sheet1!F581,FIND("(",[1]Sheet1!F581)+1,FIND("-",[1]Sheet1!F581)-FIND("(",[1]Sheet1!F581)-1)</f>
        <v>河南</v>
      </c>
      <c r="E581" s="2" t="str">
        <f>MID([1]Sheet1!F581,FIND("-",[1]Sheet1!F581)+1,FIND(")",[1]Sheet1!F581)-FIND("-",[1]Sheet1!F581)-1)</f>
        <v>郑州</v>
      </c>
      <c r="F581" s="2" t="s">
        <v>70</v>
      </c>
      <c r="G581" s="2" t="s">
        <v>81</v>
      </c>
      <c r="H581" s="2" t="s">
        <v>33</v>
      </c>
      <c r="I581" s="2" t="s">
        <v>21</v>
      </c>
      <c r="J581" s="2" t="s">
        <v>77</v>
      </c>
      <c r="K581" s="2" t="s">
        <v>130</v>
      </c>
      <c r="L581" s="2" t="s">
        <v>24</v>
      </c>
      <c r="M581" s="2" t="s">
        <v>143</v>
      </c>
      <c r="N581" s="2" t="s">
        <v>37</v>
      </c>
      <c r="O581" s="2" t="s">
        <v>58</v>
      </c>
      <c r="P581" s="2" t="s">
        <v>39</v>
      </c>
      <c r="Q581" s="2" t="s">
        <v>871</v>
      </c>
    </row>
    <row r="582" spans="1:17">
      <c r="A582" s="2" t="s">
        <v>872</v>
      </c>
      <c r="B582" s="2" t="str">
        <f>[1]Sheet1!M582</f>
        <v>男</v>
      </c>
      <c r="C582" s="3" t="str" cm="1">
        <f t="array" ref="C5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82" s="2" t="str">
        <f>MID([1]Sheet1!F582,FIND("(",[1]Sheet1!F582)+1,FIND("-",[1]Sheet1!F582)-FIND("(",[1]Sheet1!F582)-1)</f>
        <v>四川</v>
      </c>
      <c r="E582" s="2" t="str">
        <f>MID([1]Sheet1!F582,FIND("-",[1]Sheet1!F582)+1,FIND(")",[1]Sheet1!F582)-FIND("-",[1]Sheet1!F582)-1)</f>
        <v>绵阳</v>
      </c>
      <c r="F582" s="2" t="s">
        <v>70</v>
      </c>
      <c r="G582" s="2" t="s">
        <v>114</v>
      </c>
      <c r="H582" s="2" t="s">
        <v>66</v>
      </c>
      <c r="I582" s="2" t="s">
        <v>51</v>
      </c>
      <c r="J582" s="2" t="s">
        <v>77</v>
      </c>
      <c r="K582" s="2" t="s">
        <v>121</v>
      </c>
      <c r="L582" s="2" t="s">
        <v>24</v>
      </c>
      <c r="M582" s="2" t="s">
        <v>36</v>
      </c>
      <c r="N582" s="2" t="s">
        <v>37</v>
      </c>
      <c r="O582" s="2" t="s">
        <v>573</v>
      </c>
      <c r="P582" s="2" t="s">
        <v>28</v>
      </c>
      <c r="Q582" s="2" t="s">
        <v>873</v>
      </c>
    </row>
    <row r="583" spans="1:17">
      <c r="A583" s="2" t="s">
        <v>874</v>
      </c>
      <c r="B583" s="2" t="str">
        <f>[1]Sheet1!M583</f>
        <v>女</v>
      </c>
      <c r="C583" s="3" t="str" cm="1">
        <f t="array" ref="C5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83" s="2" t="str">
        <f>MID([1]Sheet1!F583,FIND("(",[1]Sheet1!F583)+1,FIND("-",[1]Sheet1!F583)-FIND("(",[1]Sheet1!F583)-1)</f>
        <v>四川</v>
      </c>
      <c r="E583" s="2" t="str">
        <f>MID([1]Sheet1!F583,FIND("-",[1]Sheet1!F583)+1,FIND(")",[1]Sheet1!F583)-FIND("-",[1]Sheet1!F583)-1)</f>
        <v>成都</v>
      </c>
      <c r="F583" s="2" t="s">
        <v>70</v>
      </c>
      <c r="G583" s="2" t="s">
        <v>32</v>
      </c>
      <c r="H583" s="2" t="s">
        <v>33</v>
      </c>
      <c r="I583" s="2" t="s">
        <v>21</v>
      </c>
      <c r="J583" s="2" t="s">
        <v>77</v>
      </c>
      <c r="K583" s="2" t="s">
        <v>115</v>
      </c>
      <c r="L583" s="2" t="s">
        <v>83</v>
      </c>
      <c r="M583" s="2" t="s">
        <v>25</v>
      </c>
      <c r="N583" s="2" t="s">
        <v>37</v>
      </c>
      <c r="O583" s="2" t="s">
        <v>235</v>
      </c>
      <c r="P583" s="2" t="s">
        <v>179</v>
      </c>
      <c r="Q583" s="2" t="s">
        <v>267</v>
      </c>
    </row>
    <row r="584" spans="1:17">
      <c r="A584" s="2" t="s">
        <v>875</v>
      </c>
      <c r="B584" s="2" t="str">
        <f>[1]Sheet1!M584</f>
        <v>男</v>
      </c>
      <c r="C584" s="3" t="str" cm="1">
        <f t="array" ref="C5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84" s="2" t="str">
        <f>MID([1]Sheet1!F584,FIND("(",[1]Sheet1!F584)+1,FIND("-",[1]Sheet1!F584)-FIND("(",[1]Sheet1!F584)-1)</f>
        <v>四川</v>
      </c>
      <c r="E584" s="2" t="str">
        <f>MID([1]Sheet1!F584,FIND("-",[1]Sheet1!F584)+1,FIND(")",[1]Sheet1!F584)-FIND("-",[1]Sheet1!F584)-1)</f>
        <v>成都</v>
      </c>
      <c r="F584" s="2" t="s">
        <v>31</v>
      </c>
      <c r="G584" s="2" t="s">
        <v>81</v>
      </c>
      <c r="H584" s="2" t="s">
        <v>66</v>
      </c>
      <c r="I584" s="2" t="s">
        <v>211</v>
      </c>
      <c r="J584" s="2" t="s">
        <v>96</v>
      </c>
      <c r="K584" s="2" t="s">
        <v>385</v>
      </c>
      <c r="L584" s="2" t="s">
        <v>24</v>
      </c>
      <c r="M584" s="2" t="s">
        <v>57</v>
      </c>
      <c r="N584" s="2" t="s">
        <v>37</v>
      </c>
      <c r="O584" s="2" t="s">
        <v>97</v>
      </c>
      <c r="P584" s="2" t="s">
        <v>39</v>
      </c>
      <c r="Q584" s="2" t="s">
        <v>48</v>
      </c>
    </row>
    <row r="585" spans="1:17">
      <c r="A585" s="2" t="s">
        <v>876</v>
      </c>
      <c r="B585" s="2" t="str">
        <f>[1]Sheet1!M585</f>
        <v>男</v>
      </c>
      <c r="C585" s="3" t="str" cm="1">
        <f t="array" ref="C5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85" s="2" t="str">
        <f>MID([1]Sheet1!F585,FIND("(",[1]Sheet1!F585)+1,FIND("-",[1]Sheet1!F585)-FIND("(",[1]Sheet1!F585)-1)</f>
        <v>广东</v>
      </c>
      <c r="E585" s="2" t="str">
        <f>MID([1]Sheet1!F585,FIND("-",[1]Sheet1!F585)+1,FIND(")",[1]Sheet1!F585)-FIND("-",[1]Sheet1!F585)-1)</f>
        <v>佛山</v>
      </c>
      <c r="F585" s="2" t="s">
        <v>42</v>
      </c>
      <c r="G585" s="2" t="s">
        <v>81</v>
      </c>
      <c r="H585" s="2" t="s">
        <v>20</v>
      </c>
      <c r="I585" s="2" t="s">
        <v>120</v>
      </c>
      <c r="J585" s="2" t="s">
        <v>82</v>
      </c>
      <c r="K585" s="2" t="s">
        <v>117</v>
      </c>
      <c r="L585" s="2" t="s">
        <v>24</v>
      </c>
      <c r="M585" s="2" t="s">
        <v>71</v>
      </c>
      <c r="N585" s="2" t="s">
        <v>26</v>
      </c>
      <c r="O585" s="2" t="s">
        <v>47</v>
      </c>
      <c r="P585" s="2" t="s">
        <v>63</v>
      </c>
      <c r="Q585" s="2" t="s">
        <v>101</v>
      </c>
    </row>
    <row r="586" spans="1:17">
      <c r="A586" s="2" t="s">
        <v>877</v>
      </c>
      <c r="B586" s="2" t="str">
        <f>[1]Sheet1!M586</f>
        <v>男</v>
      </c>
      <c r="C586" s="3" t="str" cm="1">
        <f t="array" ref="C5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586" s="2" t="str">
        <f>MID([1]Sheet1!F586,FIND("(",[1]Sheet1!F586)+1,FIND("-",[1]Sheet1!F586)-FIND("(",[1]Sheet1!F586)-1)</f>
        <v>陕西</v>
      </c>
      <c r="E586" s="2" t="str">
        <f>MID([1]Sheet1!F586,FIND("-",[1]Sheet1!F586)+1,FIND(")",[1]Sheet1!F586)-FIND("-",[1]Sheet1!F586)-1)</f>
        <v>咸阳</v>
      </c>
      <c r="F586" s="2" t="s">
        <v>70</v>
      </c>
      <c r="G586" s="2" t="s">
        <v>114</v>
      </c>
      <c r="H586" s="2" t="s">
        <v>33</v>
      </c>
      <c r="I586" s="2" t="s">
        <v>21</v>
      </c>
      <c r="J586" s="2" t="s">
        <v>96</v>
      </c>
      <c r="K586" s="2" t="s">
        <v>121</v>
      </c>
      <c r="L586" s="2" t="s">
        <v>24</v>
      </c>
      <c r="M586" s="2" t="s">
        <v>36</v>
      </c>
      <c r="N586" s="2" t="s">
        <v>37</v>
      </c>
      <c r="O586" s="2" t="s">
        <v>58</v>
      </c>
      <c r="P586" s="2" t="s">
        <v>39</v>
      </c>
      <c r="Q586" s="2" t="s">
        <v>123</v>
      </c>
    </row>
    <row r="587" spans="1:17">
      <c r="A587" s="2" t="s">
        <v>878</v>
      </c>
      <c r="B587" s="2" t="str">
        <f>[1]Sheet1!M587</f>
        <v>男</v>
      </c>
      <c r="C587" s="3" t="str" cm="1">
        <f t="array" ref="C5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87" s="2" t="str">
        <f>MID([1]Sheet1!F587,FIND("(",[1]Sheet1!F587)+1,FIND("-",[1]Sheet1!F587)-FIND("(",[1]Sheet1!F587)-1)</f>
        <v>四川</v>
      </c>
      <c r="E587" s="2" t="str">
        <f>MID([1]Sheet1!F587,FIND("-",[1]Sheet1!F587)+1,FIND(")",[1]Sheet1!F587)-FIND("-",[1]Sheet1!F587)-1)</f>
        <v>南充</v>
      </c>
      <c r="F587" s="2" t="s">
        <v>70</v>
      </c>
      <c r="G587" s="2" t="s">
        <v>81</v>
      </c>
      <c r="H587" s="2" t="s">
        <v>66</v>
      </c>
      <c r="I587" s="2" t="s">
        <v>51</v>
      </c>
      <c r="J587" s="2" t="s">
        <v>82</v>
      </c>
      <c r="K587" s="2" t="s">
        <v>115</v>
      </c>
      <c r="L587" s="2" t="s">
        <v>24</v>
      </c>
      <c r="M587" s="2" t="s">
        <v>67</v>
      </c>
      <c r="N587" s="2" t="s">
        <v>37</v>
      </c>
      <c r="O587" s="2" t="s">
        <v>47</v>
      </c>
      <c r="P587" s="2" t="s">
        <v>86</v>
      </c>
      <c r="Q587" s="2" t="s">
        <v>150</v>
      </c>
    </row>
    <row r="588" spans="1:17">
      <c r="A588" s="2" t="s">
        <v>879</v>
      </c>
      <c r="B588" s="2" t="str">
        <f>[1]Sheet1!M588</f>
        <v>男</v>
      </c>
      <c r="C588" s="3" t="str" cm="1">
        <f t="array" ref="C5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88" s="2" t="str">
        <f>MID([1]Sheet1!F588,FIND("(",[1]Sheet1!F588)+1,FIND("-",[1]Sheet1!F588)-FIND("(",[1]Sheet1!F588)-1)</f>
        <v>贵州</v>
      </c>
      <c r="E588" s="2" t="str">
        <f>MID([1]Sheet1!F588,FIND("-",[1]Sheet1!F588)+1,FIND(")",[1]Sheet1!F588)-FIND("-",[1]Sheet1!F588)-1)</f>
        <v>黔东南</v>
      </c>
      <c r="F588" s="2" t="s">
        <v>70</v>
      </c>
      <c r="G588" s="2" t="s">
        <v>32</v>
      </c>
      <c r="H588" s="2" t="s">
        <v>33</v>
      </c>
      <c r="I588" s="2" t="s">
        <v>51</v>
      </c>
      <c r="J588" s="2" t="s">
        <v>77</v>
      </c>
      <c r="K588" s="2" t="s">
        <v>117</v>
      </c>
      <c r="L588" s="2" t="s">
        <v>24</v>
      </c>
      <c r="M588" s="2" t="s">
        <v>36</v>
      </c>
      <c r="N588" s="2" t="s">
        <v>37</v>
      </c>
      <c r="O588" s="2" t="s">
        <v>47</v>
      </c>
      <c r="P588" s="2" t="s">
        <v>28</v>
      </c>
      <c r="Q588" s="2" t="s">
        <v>133</v>
      </c>
    </row>
    <row r="589" spans="1:17">
      <c r="A589" s="2" t="s">
        <v>880</v>
      </c>
      <c r="B589" s="2" t="str">
        <f>[1]Sheet1!M589</f>
        <v>男</v>
      </c>
      <c r="C589" s="3" t="str" cm="1">
        <f t="array" ref="C5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89" s="2" t="str">
        <f>MID([1]Sheet1!F589,FIND("(",[1]Sheet1!F589)+1,FIND("-",[1]Sheet1!F589)-FIND("(",[1]Sheet1!F589)-1)</f>
        <v>河南</v>
      </c>
      <c r="E589" s="2" t="str">
        <f>MID([1]Sheet1!F589,FIND("-",[1]Sheet1!F589)+1,FIND(")",[1]Sheet1!F589)-FIND("-",[1]Sheet1!F589)-1)</f>
        <v>郑州</v>
      </c>
      <c r="F589" s="2" t="s">
        <v>70</v>
      </c>
      <c r="G589" s="2" t="s">
        <v>114</v>
      </c>
      <c r="H589" s="2" t="s">
        <v>33</v>
      </c>
      <c r="I589" s="2" t="s">
        <v>21</v>
      </c>
      <c r="J589" s="2" t="s">
        <v>82</v>
      </c>
      <c r="K589" s="2" t="s">
        <v>121</v>
      </c>
      <c r="L589" s="2" t="s">
        <v>24</v>
      </c>
      <c r="M589" s="2" t="s">
        <v>57</v>
      </c>
      <c r="N589" s="2" t="s">
        <v>85</v>
      </c>
      <c r="O589" s="2" t="s">
        <v>27</v>
      </c>
      <c r="P589" s="2" t="s">
        <v>175</v>
      </c>
      <c r="Q589" s="2" t="s">
        <v>123</v>
      </c>
    </row>
    <row r="590" spans="1:17">
      <c r="A590" s="2" t="s">
        <v>881</v>
      </c>
      <c r="B590" s="2" t="str">
        <f>[1]Sheet1!M590</f>
        <v>男</v>
      </c>
      <c r="C590" s="3" t="str" cm="1">
        <f t="array" ref="C5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590" s="2" t="str">
        <f>MID([1]Sheet1!F590,FIND("(",[1]Sheet1!F590)+1,FIND("-",[1]Sheet1!F590)-FIND("(",[1]Sheet1!F590)-1)</f>
        <v>江西</v>
      </c>
      <c r="E590" s="2" t="str">
        <f>MID([1]Sheet1!F590,FIND("-",[1]Sheet1!F590)+1,FIND(")",[1]Sheet1!F590)-FIND("-",[1]Sheet1!F590)-1)</f>
        <v>九江</v>
      </c>
      <c r="F590" s="2" t="s">
        <v>31</v>
      </c>
      <c r="G590" s="2" t="s">
        <v>19</v>
      </c>
      <c r="H590" s="2" t="s">
        <v>20</v>
      </c>
      <c r="I590" s="2" t="s">
        <v>43</v>
      </c>
      <c r="J590" s="2" t="s">
        <v>96</v>
      </c>
      <c r="K590" s="2" t="s">
        <v>115</v>
      </c>
      <c r="L590" s="2" t="s">
        <v>24</v>
      </c>
      <c r="M590" s="2" t="s">
        <v>143</v>
      </c>
      <c r="N590" s="2" t="s">
        <v>37</v>
      </c>
      <c r="O590" s="2" t="s">
        <v>97</v>
      </c>
      <c r="P590" s="2" t="s">
        <v>63</v>
      </c>
      <c r="Q590" s="2" t="s">
        <v>144</v>
      </c>
    </row>
    <row r="591" spans="1:17">
      <c r="A591" s="2" t="s">
        <v>882</v>
      </c>
      <c r="B591" s="2" t="str">
        <f>[1]Sheet1!M591</f>
        <v>男</v>
      </c>
      <c r="C591" s="3" t="str" cm="1">
        <f t="array" ref="C5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91" s="2" t="str">
        <f>MID([1]Sheet1!F591,FIND("(",[1]Sheet1!F591)+1,FIND("-",[1]Sheet1!F591)-FIND("(",[1]Sheet1!F591)-1)</f>
        <v>山东</v>
      </c>
      <c r="E591" s="2" t="str">
        <f>MID([1]Sheet1!F591,FIND("-",[1]Sheet1!F591)+1,FIND(")",[1]Sheet1!F591)-FIND("-",[1]Sheet1!F591)-1)</f>
        <v>聊城</v>
      </c>
      <c r="F591" s="2" t="s">
        <v>31</v>
      </c>
      <c r="G591" s="2" t="s">
        <v>50</v>
      </c>
      <c r="H591" s="2" t="s">
        <v>66</v>
      </c>
      <c r="I591" s="2" t="s">
        <v>34</v>
      </c>
      <c r="J591" s="2" t="s">
        <v>96</v>
      </c>
      <c r="K591" s="2" t="s">
        <v>117</v>
      </c>
      <c r="L591" s="2" t="s">
        <v>24</v>
      </c>
      <c r="M591" s="2" t="s">
        <v>92</v>
      </c>
      <c r="N591" s="2" t="s">
        <v>37</v>
      </c>
      <c r="O591" s="2" t="s">
        <v>58</v>
      </c>
      <c r="P591" s="2" t="s">
        <v>179</v>
      </c>
      <c r="Q591" s="2" t="s">
        <v>883</v>
      </c>
    </row>
    <row r="592" spans="1:17">
      <c r="A592" s="2" t="s">
        <v>882</v>
      </c>
      <c r="B592" s="2" t="str">
        <f>[1]Sheet1!M592</f>
        <v>男</v>
      </c>
      <c r="C592" s="3" t="str" cm="1">
        <f t="array" ref="C5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92" s="2" t="str">
        <f>MID([1]Sheet1!F592,FIND("(",[1]Sheet1!F592)+1,FIND("-",[1]Sheet1!F592)-FIND("(",[1]Sheet1!F592)-1)</f>
        <v>山东</v>
      </c>
      <c r="E592" s="2" t="str">
        <f>MID([1]Sheet1!F592,FIND("-",[1]Sheet1!F592)+1,FIND(")",[1]Sheet1!F592)-FIND("-",[1]Sheet1!F592)-1)</f>
        <v>聊城</v>
      </c>
      <c r="F592" s="2" t="s">
        <v>31</v>
      </c>
      <c r="G592" s="2" t="s">
        <v>50</v>
      </c>
      <c r="H592" s="2" t="s">
        <v>66</v>
      </c>
      <c r="I592" s="2" t="s">
        <v>34</v>
      </c>
      <c r="J592" s="2" t="s">
        <v>96</v>
      </c>
      <c r="K592" s="2" t="s">
        <v>117</v>
      </c>
      <c r="L592" s="2" t="s">
        <v>24</v>
      </c>
      <c r="M592" s="2" t="s">
        <v>92</v>
      </c>
      <c r="N592" s="2" t="s">
        <v>37</v>
      </c>
      <c r="O592" s="2" t="s">
        <v>58</v>
      </c>
      <c r="P592" s="2" t="s">
        <v>179</v>
      </c>
      <c r="Q592" s="2" t="s">
        <v>883</v>
      </c>
    </row>
    <row r="593" spans="1:17">
      <c r="A593" s="2" t="s">
        <v>884</v>
      </c>
      <c r="B593" s="2" t="str">
        <f>[1]Sheet1!M593</f>
        <v>男</v>
      </c>
      <c r="C593" s="3" t="str" cm="1">
        <f t="array" ref="C5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93" s="2" t="str">
        <f>MID([1]Sheet1!F593,FIND("(",[1]Sheet1!F593)+1,FIND("-",[1]Sheet1!F593)-FIND("(",[1]Sheet1!F593)-1)</f>
        <v>山东</v>
      </c>
      <c r="E593" s="2" t="str">
        <f>MID([1]Sheet1!F593,FIND("-",[1]Sheet1!F593)+1,FIND(")",[1]Sheet1!F593)-FIND("-",[1]Sheet1!F593)-1)</f>
        <v>聊城</v>
      </c>
      <c r="F593" s="2" t="s">
        <v>42</v>
      </c>
      <c r="G593" s="2" t="s">
        <v>50</v>
      </c>
      <c r="H593" s="2" t="s">
        <v>33</v>
      </c>
      <c r="I593" s="2" t="s">
        <v>21</v>
      </c>
      <c r="J593" s="2" t="s">
        <v>77</v>
      </c>
      <c r="K593" s="2" t="s">
        <v>117</v>
      </c>
      <c r="L593" s="2" t="s">
        <v>24</v>
      </c>
      <c r="M593" s="2" t="s">
        <v>67</v>
      </c>
      <c r="N593" s="2" t="s">
        <v>37</v>
      </c>
      <c r="O593" s="2" t="s">
        <v>47</v>
      </c>
      <c r="P593" s="2" t="s">
        <v>39</v>
      </c>
      <c r="Q593" s="2" t="s">
        <v>48</v>
      </c>
    </row>
    <row r="594" spans="1:17">
      <c r="A594" s="2" t="s">
        <v>885</v>
      </c>
      <c r="B594" s="2" t="str">
        <f>[1]Sheet1!M594</f>
        <v>男</v>
      </c>
      <c r="C594" s="3" t="str" cm="1">
        <f t="array" ref="C5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594" s="2" t="str">
        <f>MID([1]Sheet1!F594,FIND("(",[1]Sheet1!F594)+1,FIND("-",[1]Sheet1!F594)-FIND("(",[1]Sheet1!F594)-1)</f>
        <v>广东</v>
      </c>
      <c r="E594" s="2" t="str">
        <f>MID([1]Sheet1!F594,FIND("-",[1]Sheet1!F594)+1,FIND(")",[1]Sheet1!F594)-FIND("-",[1]Sheet1!F594)-1)</f>
        <v>汕头</v>
      </c>
      <c r="F594" s="2" t="s">
        <v>31</v>
      </c>
      <c r="G594" s="2" t="s">
        <v>81</v>
      </c>
      <c r="H594" s="2" t="s">
        <v>66</v>
      </c>
      <c r="I594" s="2" t="s">
        <v>43</v>
      </c>
      <c r="J594" s="2" t="s">
        <v>56</v>
      </c>
      <c r="K594" s="2" t="s">
        <v>117</v>
      </c>
      <c r="L594" s="2" t="s">
        <v>24</v>
      </c>
      <c r="M594" s="2" t="s">
        <v>143</v>
      </c>
      <c r="N594" s="2" t="s">
        <v>37</v>
      </c>
      <c r="O594" s="2" t="s">
        <v>89</v>
      </c>
      <c r="P594" s="2" t="s">
        <v>63</v>
      </c>
      <c r="Q594" s="2" t="s">
        <v>133</v>
      </c>
    </row>
    <row r="595" spans="1:17">
      <c r="A595" s="2" t="s">
        <v>886</v>
      </c>
      <c r="B595" s="2" t="str">
        <f>[1]Sheet1!M595</f>
        <v>男</v>
      </c>
      <c r="C595" s="3" t="str" cm="1">
        <f t="array" ref="C5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595" s="2" t="str">
        <f>MID([1]Sheet1!F595,FIND("(",[1]Sheet1!F595)+1,FIND("-",[1]Sheet1!F595)-FIND("(",[1]Sheet1!F595)-1)</f>
        <v>山西</v>
      </c>
      <c r="E595" s="2" t="str">
        <f>MID([1]Sheet1!F595,FIND("-",[1]Sheet1!F595)+1,FIND(")",[1]Sheet1!F595)-FIND("-",[1]Sheet1!F595)-1)</f>
        <v>运城</v>
      </c>
      <c r="F595" s="2" t="s">
        <v>31</v>
      </c>
      <c r="G595" s="2" t="s">
        <v>81</v>
      </c>
      <c r="H595" s="2" t="s">
        <v>66</v>
      </c>
      <c r="I595" s="2" t="s">
        <v>34</v>
      </c>
      <c r="J595" s="2" t="s">
        <v>44</v>
      </c>
      <c r="K595" s="2" t="s">
        <v>412</v>
      </c>
      <c r="L595" s="2" t="s">
        <v>24</v>
      </c>
      <c r="M595" s="2" t="s">
        <v>143</v>
      </c>
      <c r="N595" s="2" t="s">
        <v>26</v>
      </c>
      <c r="O595" s="2" t="s">
        <v>58</v>
      </c>
      <c r="P595" s="2" t="s">
        <v>86</v>
      </c>
      <c r="Q595" s="2" t="s">
        <v>887</v>
      </c>
    </row>
    <row r="596" spans="1:17">
      <c r="A596" s="2" t="s">
        <v>888</v>
      </c>
      <c r="B596" s="2" t="str">
        <f>[1]Sheet1!M596</f>
        <v>男</v>
      </c>
      <c r="C596" s="3" t="str" cm="1">
        <f t="array" ref="C5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596" s="2" t="str">
        <f>MID([1]Sheet1!F596,FIND("(",[1]Sheet1!F596)+1,FIND("-",[1]Sheet1!F596)-FIND("(",[1]Sheet1!F596)-1)</f>
        <v>黑龙江</v>
      </c>
      <c r="E596" s="2" t="str">
        <f>MID([1]Sheet1!F596,FIND("-",[1]Sheet1!F596)+1,FIND(")",[1]Sheet1!F596)-FIND("-",[1]Sheet1!F596)-1)</f>
        <v>哈尔滨</v>
      </c>
      <c r="F596" s="2" t="s">
        <v>31</v>
      </c>
      <c r="G596" s="2" t="s">
        <v>32</v>
      </c>
      <c r="H596" s="2" t="s">
        <v>66</v>
      </c>
      <c r="I596" s="2" t="s">
        <v>43</v>
      </c>
      <c r="J596" s="2" t="s">
        <v>82</v>
      </c>
      <c r="K596" s="2" t="s">
        <v>304</v>
      </c>
      <c r="L596" s="2" t="s">
        <v>24</v>
      </c>
      <c r="M596" s="2" t="s">
        <v>25</v>
      </c>
      <c r="N596" s="2" t="s">
        <v>37</v>
      </c>
      <c r="O596" s="2" t="s">
        <v>422</v>
      </c>
      <c r="P596" s="2" t="s">
        <v>39</v>
      </c>
      <c r="Q596" s="2" t="s">
        <v>259</v>
      </c>
    </row>
    <row r="597" spans="1:17">
      <c r="A597" s="2" t="s">
        <v>889</v>
      </c>
      <c r="B597" s="2" t="str">
        <f>[1]Sheet1!M597</f>
        <v>男</v>
      </c>
      <c r="C597" s="3" t="str" cm="1">
        <f t="array" ref="C5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597" s="2" t="str">
        <f>MID([1]Sheet1!F597,FIND("(",[1]Sheet1!F597)+1,FIND("-",[1]Sheet1!F597)-FIND("(",[1]Sheet1!F597)-1)</f>
        <v>贵州</v>
      </c>
      <c r="E597" s="2" t="str">
        <f>MID([1]Sheet1!F597,FIND("-",[1]Sheet1!F597)+1,FIND(")",[1]Sheet1!F597)-FIND("-",[1]Sheet1!F597)-1)</f>
        <v>遵义</v>
      </c>
      <c r="F597" s="2" t="s">
        <v>42</v>
      </c>
      <c r="G597" s="2" t="s">
        <v>50</v>
      </c>
      <c r="H597" s="2" t="s">
        <v>33</v>
      </c>
      <c r="I597" s="2" t="s">
        <v>51</v>
      </c>
      <c r="J597" s="2" t="s">
        <v>44</v>
      </c>
      <c r="K597" s="2" t="s">
        <v>115</v>
      </c>
      <c r="L597" s="2" t="s">
        <v>83</v>
      </c>
      <c r="M597" s="2" t="s">
        <v>143</v>
      </c>
      <c r="N597" s="2" t="s">
        <v>37</v>
      </c>
      <c r="O597" s="2" t="s">
        <v>58</v>
      </c>
      <c r="P597" s="2" t="s">
        <v>63</v>
      </c>
      <c r="Q597" s="2" t="s">
        <v>133</v>
      </c>
    </row>
    <row r="598" spans="1:17">
      <c r="A598" s="2" t="s">
        <v>890</v>
      </c>
      <c r="B598" s="2" t="str">
        <f>[1]Sheet1!M598</f>
        <v>男</v>
      </c>
      <c r="C598" s="3" t="str" cm="1">
        <f t="array" ref="C5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98" s="2" t="str">
        <f>MID([1]Sheet1!F598,FIND("(",[1]Sheet1!F598)+1,FIND("-",[1]Sheet1!F598)-FIND("(",[1]Sheet1!F598)-1)</f>
        <v>山东</v>
      </c>
      <c r="E598" s="2" t="str">
        <f>MID([1]Sheet1!F598,FIND("-",[1]Sheet1!F598)+1,FIND(")",[1]Sheet1!F598)-FIND("-",[1]Sheet1!F598)-1)</f>
        <v>济宁</v>
      </c>
      <c r="F598" s="2" t="s">
        <v>42</v>
      </c>
      <c r="G598" s="2" t="s">
        <v>50</v>
      </c>
      <c r="H598" s="2" t="s">
        <v>33</v>
      </c>
      <c r="I598" s="2" t="s">
        <v>51</v>
      </c>
      <c r="J598" s="2" t="s">
        <v>44</v>
      </c>
      <c r="K598" s="2" t="s">
        <v>121</v>
      </c>
      <c r="L598" s="2" t="s">
        <v>24</v>
      </c>
      <c r="M598" s="2" t="s">
        <v>57</v>
      </c>
      <c r="N598" s="2" t="s">
        <v>26</v>
      </c>
      <c r="O598" s="2" t="s">
        <v>97</v>
      </c>
      <c r="P598" s="2" t="s">
        <v>39</v>
      </c>
      <c r="Q598" s="2" t="s">
        <v>101</v>
      </c>
    </row>
    <row r="599" spans="1:17">
      <c r="A599" s="2" t="s">
        <v>891</v>
      </c>
      <c r="B599" s="2" t="str">
        <f>[1]Sheet1!M599</f>
        <v>女</v>
      </c>
      <c r="C599" s="3" t="str" cm="1">
        <f t="array" ref="C5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599)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599" s="2" t="str">
        <f>MID([1]Sheet1!F599,FIND("(",[1]Sheet1!F599)+1,FIND("-",[1]Sheet1!F599)-FIND("(",[1]Sheet1!F599)-1)</f>
        <v>山东</v>
      </c>
      <c r="E599" s="2" t="str">
        <f>MID([1]Sheet1!F599,FIND("-",[1]Sheet1!F599)+1,FIND(")",[1]Sheet1!F599)-FIND("-",[1]Sheet1!F599)-1)</f>
        <v>济南</v>
      </c>
      <c r="F599" s="2" t="s">
        <v>18</v>
      </c>
      <c r="G599" s="2" t="s">
        <v>50</v>
      </c>
      <c r="H599" s="2" t="s">
        <v>66</v>
      </c>
      <c r="I599" s="2" t="s">
        <v>120</v>
      </c>
      <c r="J599" s="2" t="s">
        <v>96</v>
      </c>
      <c r="K599" s="2" t="s">
        <v>121</v>
      </c>
      <c r="L599" s="2" t="s">
        <v>24</v>
      </c>
      <c r="M599" s="2" t="s">
        <v>71</v>
      </c>
      <c r="N599" s="2" t="s">
        <v>85</v>
      </c>
      <c r="O599" s="2" t="s">
        <v>47</v>
      </c>
      <c r="P599" s="2" t="s">
        <v>39</v>
      </c>
      <c r="Q599" s="2" t="s">
        <v>238</v>
      </c>
    </row>
    <row r="600" spans="1:17">
      <c r="A600" s="2" t="s">
        <v>892</v>
      </c>
      <c r="B600" s="2" t="str">
        <f>[1]Sheet1!M600</f>
        <v>男</v>
      </c>
      <c r="C600" s="3" t="str" cm="1">
        <f t="array" ref="C6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0" s="2" t="str">
        <f>MID([1]Sheet1!F600,FIND("(",[1]Sheet1!F600)+1,FIND("-",[1]Sheet1!F600)-FIND("(",[1]Sheet1!F600)-1)</f>
        <v>广东</v>
      </c>
      <c r="E600" s="2" t="str">
        <f>MID([1]Sheet1!F600,FIND("-",[1]Sheet1!F600)+1,FIND(")",[1]Sheet1!F600)-FIND("-",[1]Sheet1!F600)-1)</f>
        <v>东莞</v>
      </c>
      <c r="F600" s="2" t="s">
        <v>42</v>
      </c>
      <c r="G600" s="2" t="s">
        <v>114</v>
      </c>
      <c r="H600" s="2" t="s">
        <v>20</v>
      </c>
      <c r="I600" s="2" t="s">
        <v>73</v>
      </c>
      <c r="J600" s="2" t="s">
        <v>35</v>
      </c>
      <c r="K600" s="2" t="s">
        <v>130</v>
      </c>
      <c r="L600" s="2" t="s">
        <v>24</v>
      </c>
      <c r="M600" s="2" t="s">
        <v>36</v>
      </c>
      <c r="N600" s="2" t="s">
        <v>37</v>
      </c>
      <c r="O600" s="2" t="s">
        <v>122</v>
      </c>
      <c r="P600" s="2" t="s">
        <v>39</v>
      </c>
      <c r="Q600" s="2" t="s">
        <v>94</v>
      </c>
    </row>
    <row r="601" spans="1:17">
      <c r="A601" s="2" t="s">
        <v>893</v>
      </c>
      <c r="B601" s="2" t="str">
        <f>[1]Sheet1!M601</f>
        <v>男</v>
      </c>
      <c r="C601" s="3" t="str" cm="1">
        <f t="array" ref="C6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601" s="2" t="str">
        <f>MID([1]Sheet1!F601,FIND("(",[1]Sheet1!F601)+1,FIND("-",[1]Sheet1!F601)-FIND("(",[1]Sheet1!F601)-1)</f>
        <v>四川</v>
      </c>
      <c r="E601" s="2" t="str">
        <f>MID([1]Sheet1!F601,FIND("-",[1]Sheet1!F601)+1,FIND(")",[1]Sheet1!F601)-FIND("-",[1]Sheet1!F601)-1)</f>
        <v>成都</v>
      </c>
      <c r="F601" s="2" t="s">
        <v>18</v>
      </c>
      <c r="G601" s="2" t="s">
        <v>19</v>
      </c>
      <c r="H601" s="2" t="s">
        <v>20</v>
      </c>
      <c r="I601" s="2" t="s">
        <v>43</v>
      </c>
      <c r="J601" s="2" t="s">
        <v>96</v>
      </c>
      <c r="K601" s="2" t="s">
        <v>117</v>
      </c>
      <c r="L601" s="2" t="s">
        <v>24</v>
      </c>
      <c r="M601" s="2" t="s">
        <v>36</v>
      </c>
      <c r="N601" s="2" t="s">
        <v>37</v>
      </c>
      <c r="O601" s="2" t="s">
        <v>47</v>
      </c>
      <c r="P601" s="2" t="s">
        <v>39</v>
      </c>
      <c r="Q601" s="2" t="s">
        <v>48</v>
      </c>
    </row>
    <row r="602" spans="1:17">
      <c r="A602" s="2" t="s">
        <v>894</v>
      </c>
      <c r="B602" s="2" t="str">
        <f>[1]Sheet1!M602</f>
        <v>女</v>
      </c>
      <c r="C602" s="3" t="str" cm="1">
        <f t="array" ref="C6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602" s="2" t="str">
        <f>MID([1]Sheet1!F602,FIND("(",[1]Sheet1!F602)+1,FIND("-",[1]Sheet1!F602)-FIND("(",[1]Sheet1!F602)-1)</f>
        <v>黑龙江</v>
      </c>
      <c r="E602" s="2" t="str">
        <f>MID([1]Sheet1!F602,FIND("-",[1]Sheet1!F602)+1,FIND(")",[1]Sheet1!F602)-FIND("-",[1]Sheet1!F602)-1)</f>
        <v>哈尔滨</v>
      </c>
      <c r="F602" s="2" t="s">
        <v>70</v>
      </c>
      <c r="G602" s="2" t="s">
        <v>32</v>
      </c>
      <c r="H602" s="2" t="s">
        <v>20</v>
      </c>
      <c r="I602" s="2" t="s">
        <v>21</v>
      </c>
      <c r="J602" s="2" t="s">
        <v>44</v>
      </c>
      <c r="K602" s="2" t="s">
        <v>121</v>
      </c>
      <c r="L602" s="2" t="s">
        <v>24</v>
      </c>
      <c r="M602" s="2" t="s">
        <v>25</v>
      </c>
      <c r="N602" s="2" t="s">
        <v>37</v>
      </c>
      <c r="O602" s="2" t="s">
        <v>122</v>
      </c>
      <c r="P602" s="2" t="s">
        <v>179</v>
      </c>
      <c r="Q602" s="2" t="s">
        <v>68</v>
      </c>
    </row>
    <row r="603" spans="1:17">
      <c r="A603" s="2" t="s">
        <v>895</v>
      </c>
      <c r="B603" s="2" t="str">
        <f>[1]Sheet1!M603</f>
        <v>女</v>
      </c>
      <c r="C603" s="3" t="str" cm="1">
        <f t="array" ref="C6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3" s="2" t="str">
        <f>MID([1]Sheet1!F603,FIND("(",[1]Sheet1!F603)+1,FIND("-",[1]Sheet1!F603)-FIND("(",[1]Sheet1!F603)-1)</f>
        <v>广东</v>
      </c>
      <c r="E603" s="2" t="str">
        <f>MID([1]Sheet1!F603,FIND("-",[1]Sheet1!F603)+1,FIND(")",[1]Sheet1!F603)-FIND("-",[1]Sheet1!F603)-1)</f>
        <v>东莞</v>
      </c>
      <c r="F603" s="2" t="s">
        <v>31</v>
      </c>
      <c r="G603" s="2" t="s">
        <v>81</v>
      </c>
      <c r="H603" s="2" t="s">
        <v>33</v>
      </c>
      <c r="I603" s="2" t="s">
        <v>21</v>
      </c>
      <c r="J603" s="2" t="s">
        <v>82</v>
      </c>
      <c r="K603" s="2" t="s">
        <v>121</v>
      </c>
      <c r="L603" s="2" t="s">
        <v>24</v>
      </c>
      <c r="M603" s="2" t="s">
        <v>111</v>
      </c>
      <c r="N603" s="2" t="s">
        <v>37</v>
      </c>
      <c r="O603" s="2" t="s">
        <v>450</v>
      </c>
      <c r="P603" s="2" t="s">
        <v>175</v>
      </c>
      <c r="Q603" s="2" t="s">
        <v>48</v>
      </c>
    </row>
    <row r="604" spans="1:17">
      <c r="A604" s="2" t="s">
        <v>896</v>
      </c>
      <c r="B604" s="2" t="str">
        <f>[1]Sheet1!M604</f>
        <v>男</v>
      </c>
      <c r="C604" s="3" t="str" cm="1">
        <f t="array" ref="C6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04" s="2" t="str">
        <f>MID([1]Sheet1!F604,FIND("(",[1]Sheet1!F604)+1,FIND("-",[1]Sheet1!F604)-FIND("(",[1]Sheet1!F604)-1)</f>
        <v>陕西</v>
      </c>
      <c r="E604" s="2" t="str">
        <f>MID([1]Sheet1!F604,FIND("-",[1]Sheet1!F604)+1,FIND(")",[1]Sheet1!F604)-FIND("-",[1]Sheet1!F604)-1)</f>
        <v>西安</v>
      </c>
      <c r="F604" s="2" t="s">
        <v>31</v>
      </c>
      <c r="G604" s="2" t="s">
        <v>32</v>
      </c>
      <c r="H604" s="2" t="s">
        <v>55</v>
      </c>
      <c r="I604" s="2" t="s">
        <v>43</v>
      </c>
      <c r="J604" s="2" t="s">
        <v>56</v>
      </c>
      <c r="K604" s="2" t="s">
        <v>169</v>
      </c>
      <c r="L604" s="2" t="s">
        <v>24</v>
      </c>
      <c r="M604" s="2" t="s">
        <v>78</v>
      </c>
      <c r="N604" s="2" t="s">
        <v>26</v>
      </c>
      <c r="O604" s="2" t="s">
        <v>62</v>
      </c>
      <c r="P604" s="2" t="s">
        <v>39</v>
      </c>
      <c r="Q604" s="2" t="s">
        <v>200</v>
      </c>
    </row>
    <row r="605" spans="1:17">
      <c r="A605" s="2" t="s">
        <v>897</v>
      </c>
      <c r="B605" s="2" t="str">
        <f>[1]Sheet1!M605</f>
        <v>男</v>
      </c>
      <c r="C605" s="3" t="str" cm="1">
        <f t="array" ref="C6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605" s="2" t="str">
        <f>MID([1]Sheet1!F605,FIND("(",[1]Sheet1!F605)+1,FIND("-",[1]Sheet1!F605)-FIND("(",[1]Sheet1!F605)-1)</f>
        <v>河北</v>
      </c>
      <c r="E605" s="2" t="str">
        <f>MID([1]Sheet1!F605,FIND("-",[1]Sheet1!F605)+1,FIND(")",[1]Sheet1!F605)-FIND("-",[1]Sheet1!F605)-1)</f>
        <v>唐山</v>
      </c>
      <c r="F605" s="2" t="s">
        <v>42</v>
      </c>
      <c r="G605" s="2" t="s">
        <v>50</v>
      </c>
      <c r="H605" s="2" t="s">
        <v>20</v>
      </c>
      <c r="I605" s="2" t="s">
        <v>43</v>
      </c>
      <c r="J605" s="2" t="s">
        <v>22</v>
      </c>
      <c r="K605" s="2" t="s">
        <v>121</v>
      </c>
      <c r="L605" s="2" t="s">
        <v>24</v>
      </c>
      <c r="M605" s="2" t="s">
        <v>36</v>
      </c>
      <c r="N605" s="2" t="s">
        <v>37</v>
      </c>
      <c r="O605" s="2" t="s">
        <v>97</v>
      </c>
      <c r="P605" s="2" t="s">
        <v>28</v>
      </c>
      <c r="Q605" s="2" t="s">
        <v>48</v>
      </c>
    </row>
    <row r="606" spans="1:17">
      <c r="A606" s="2" t="s">
        <v>898</v>
      </c>
      <c r="B606" s="2" t="str">
        <f>[1]Sheet1!M606</f>
        <v>男</v>
      </c>
      <c r="C606" s="3" t="str" cm="1">
        <f t="array" ref="C6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6" s="2" t="str">
        <f>MID([1]Sheet1!F606,FIND("(",[1]Sheet1!F606)+1,FIND("-",[1]Sheet1!F606)-FIND("(",[1]Sheet1!F606)-1)</f>
        <v>广西</v>
      </c>
      <c r="E606" s="2" t="str">
        <f>MID([1]Sheet1!F606,FIND("-",[1]Sheet1!F606)+1,FIND(")",[1]Sheet1!F606)-FIND("-",[1]Sheet1!F606)-1)</f>
        <v>柳州</v>
      </c>
      <c r="F606" s="2" t="s">
        <v>159</v>
      </c>
      <c r="G606" s="2" t="s">
        <v>50</v>
      </c>
      <c r="H606" s="2" t="s">
        <v>66</v>
      </c>
      <c r="I606" s="2" t="s">
        <v>34</v>
      </c>
      <c r="J606" s="2" t="s">
        <v>56</v>
      </c>
      <c r="K606" s="2" t="s">
        <v>130</v>
      </c>
      <c r="L606" s="2" t="s">
        <v>24</v>
      </c>
      <c r="M606" s="2" t="s">
        <v>25</v>
      </c>
      <c r="N606" s="2" t="s">
        <v>37</v>
      </c>
      <c r="O606" s="2" t="s">
        <v>47</v>
      </c>
      <c r="P606" s="2" t="s">
        <v>39</v>
      </c>
      <c r="Q606" s="2" t="s">
        <v>899</v>
      </c>
    </row>
    <row r="607" spans="1:17">
      <c r="A607" s="2" t="s">
        <v>900</v>
      </c>
      <c r="B607" s="2" t="str">
        <f>[1]Sheet1!M607</f>
        <v>男</v>
      </c>
      <c r="C607" s="3" t="str" cm="1">
        <f t="array" ref="C6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607" s="2" t="str">
        <f>MID([1]Sheet1!F607,FIND("(",[1]Sheet1!F607)+1,FIND("-",[1]Sheet1!F607)-FIND("(",[1]Sheet1!F607)-1)</f>
        <v>天津</v>
      </c>
      <c r="E607" s="2" t="str">
        <f>MID([1]Sheet1!F607,FIND("-",[1]Sheet1!F607)+1,FIND(")",[1]Sheet1!F607)-FIND("-",[1]Sheet1!F607)-1)</f>
        <v>天津</v>
      </c>
      <c r="F607" s="2" t="s">
        <v>42</v>
      </c>
      <c r="G607" s="2" t="s">
        <v>114</v>
      </c>
      <c r="H607" s="2" t="s">
        <v>66</v>
      </c>
      <c r="I607" s="2" t="s">
        <v>73</v>
      </c>
      <c r="J607" s="2" t="s">
        <v>35</v>
      </c>
      <c r="K607" s="2" t="s">
        <v>130</v>
      </c>
      <c r="L607" s="2" t="s">
        <v>24</v>
      </c>
      <c r="M607" s="2" t="s">
        <v>36</v>
      </c>
      <c r="N607" s="2" t="s">
        <v>46</v>
      </c>
      <c r="O607" s="2" t="s">
        <v>27</v>
      </c>
      <c r="P607" s="2" t="s">
        <v>218</v>
      </c>
      <c r="Q607" s="2" t="s">
        <v>29</v>
      </c>
    </row>
    <row r="608" spans="1:17">
      <c r="A608" s="2" t="s">
        <v>901</v>
      </c>
      <c r="B608" s="2" t="str">
        <f>[1]Sheet1!M608</f>
        <v>男</v>
      </c>
      <c r="C608" s="3" t="str" cm="1">
        <f t="array" ref="C6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8" s="2" t="str">
        <f>MID([1]Sheet1!F608,FIND("(",[1]Sheet1!F608)+1,FIND("-",[1]Sheet1!F608)-FIND("(",[1]Sheet1!F608)-1)</f>
        <v>广东</v>
      </c>
      <c r="E608" s="2" t="str">
        <f>MID([1]Sheet1!F608,FIND("-",[1]Sheet1!F608)+1,FIND(")",[1]Sheet1!F608)-FIND("-",[1]Sheet1!F608)-1)</f>
        <v>东莞</v>
      </c>
      <c r="F608" s="2" t="s">
        <v>31</v>
      </c>
      <c r="G608" s="2" t="s">
        <v>32</v>
      </c>
      <c r="H608" s="2" t="s">
        <v>20</v>
      </c>
      <c r="I608" s="2" t="s">
        <v>120</v>
      </c>
      <c r="J608" s="2" t="s">
        <v>82</v>
      </c>
      <c r="K608" s="2" t="s">
        <v>115</v>
      </c>
      <c r="L608" s="2" t="s">
        <v>83</v>
      </c>
      <c r="M608" s="2" t="s">
        <v>36</v>
      </c>
      <c r="N608" s="2" t="s">
        <v>37</v>
      </c>
      <c r="O608" s="2" t="s">
        <v>27</v>
      </c>
      <c r="P608" s="2" t="s">
        <v>39</v>
      </c>
      <c r="Q608" s="2" t="s">
        <v>902</v>
      </c>
    </row>
    <row r="609" spans="1:17">
      <c r="A609" s="2" t="s">
        <v>903</v>
      </c>
      <c r="B609" s="2" t="str">
        <f>[1]Sheet1!M609</f>
        <v>女</v>
      </c>
      <c r="C609" s="3" t="str" cm="1">
        <f t="array" ref="C6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09" s="2" t="str">
        <f>MID([1]Sheet1!F609,FIND("(",[1]Sheet1!F609)+1,FIND("-",[1]Sheet1!F609)-FIND("(",[1]Sheet1!F609)-1)</f>
        <v>广西</v>
      </c>
      <c r="E609" s="2" t="str">
        <f>MID([1]Sheet1!F609,FIND("-",[1]Sheet1!F609)+1,FIND(")",[1]Sheet1!F609)-FIND("-",[1]Sheet1!F609)-1)</f>
        <v>南宁</v>
      </c>
      <c r="F609" s="2" t="s">
        <v>88</v>
      </c>
      <c r="G609" s="2" t="s">
        <v>32</v>
      </c>
      <c r="H609" s="2" t="s">
        <v>66</v>
      </c>
      <c r="I609" s="2" t="s">
        <v>34</v>
      </c>
      <c r="J609" s="2" t="s">
        <v>96</v>
      </c>
      <c r="K609" s="2" t="s">
        <v>130</v>
      </c>
      <c r="L609" s="2" t="s">
        <v>24</v>
      </c>
      <c r="M609" s="2" t="s">
        <v>71</v>
      </c>
      <c r="N609" s="2" t="s">
        <v>46</v>
      </c>
      <c r="O609" s="2" t="s">
        <v>47</v>
      </c>
      <c r="P609" s="2" t="s">
        <v>39</v>
      </c>
      <c r="Q609" s="2" t="s">
        <v>160</v>
      </c>
    </row>
    <row r="610" spans="1:17">
      <c r="A610" s="2" t="s">
        <v>904</v>
      </c>
      <c r="B610" s="2" t="str">
        <f>[1]Sheet1!M610</f>
        <v>女</v>
      </c>
      <c r="C610" s="3" t="str" cm="1">
        <f t="array" ref="C6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10" s="2" t="str">
        <f>MID([1]Sheet1!F610,FIND("(",[1]Sheet1!F610)+1,FIND("-",[1]Sheet1!F610)-FIND("(",[1]Sheet1!F610)-1)</f>
        <v>广东</v>
      </c>
      <c r="E610" s="2" t="str">
        <f>MID([1]Sheet1!F610,FIND("-",[1]Sheet1!F610)+1,FIND(")",[1]Sheet1!F610)-FIND("-",[1]Sheet1!F610)-1)</f>
        <v>广州</v>
      </c>
      <c r="F610" s="2" t="s">
        <v>70</v>
      </c>
      <c r="G610" s="2" t="s">
        <v>19</v>
      </c>
      <c r="H610" s="2" t="s">
        <v>33</v>
      </c>
      <c r="I610" s="2" t="s">
        <v>21</v>
      </c>
      <c r="J610" s="2" t="s">
        <v>77</v>
      </c>
      <c r="K610" s="2" t="s">
        <v>412</v>
      </c>
      <c r="L610" s="2" t="s">
        <v>24</v>
      </c>
      <c r="M610" s="2" t="s">
        <v>905</v>
      </c>
      <c r="N610" s="2" t="s">
        <v>37</v>
      </c>
      <c r="O610" s="2" t="s">
        <v>27</v>
      </c>
      <c r="P610" s="2" t="s">
        <v>39</v>
      </c>
      <c r="Q610" s="2" t="s">
        <v>48</v>
      </c>
    </row>
    <row r="611" spans="1:17">
      <c r="A611" s="2" t="s">
        <v>906</v>
      </c>
      <c r="B611" s="2" t="str">
        <f>[1]Sheet1!M611</f>
        <v>男</v>
      </c>
      <c r="C611" s="3" t="str" cm="1">
        <f t="array" ref="C6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11" s="2" t="str">
        <f>MID([1]Sheet1!F611,FIND("(",[1]Sheet1!F611)+1,FIND("-",[1]Sheet1!F611)-FIND("(",[1]Sheet1!F611)-1)</f>
        <v>河南</v>
      </c>
      <c r="E611" s="2" t="str">
        <f>MID([1]Sheet1!F611,FIND("-",[1]Sheet1!F611)+1,FIND(")",[1]Sheet1!F611)-FIND("-",[1]Sheet1!F611)-1)</f>
        <v>平顶山</v>
      </c>
      <c r="F611" s="2" t="s">
        <v>18</v>
      </c>
      <c r="G611" s="2" t="s">
        <v>81</v>
      </c>
      <c r="H611" s="2" t="s">
        <v>33</v>
      </c>
      <c r="I611" s="2" t="s">
        <v>120</v>
      </c>
      <c r="J611" s="2" t="s">
        <v>96</v>
      </c>
      <c r="K611" s="2" t="s">
        <v>121</v>
      </c>
      <c r="L611" s="2" t="s">
        <v>24</v>
      </c>
      <c r="M611" s="2" t="s">
        <v>143</v>
      </c>
      <c r="N611" s="2" t="s">
        <v>37</v>
      </c>
      <c r="O611" s="2" t="s">
        <v>192</v>
      </c>
      <c r="P611" s="2" t="s">
        <v>39</v>
      </c>
      <c r="Q611" s="2" t="s">
        <v>157</v>
      </c>
    </row>
    <row r="612" spans="1:17">
      <c r="A612" s="2" t="s">
        <v>907</v>
      </c>
      <c r="B612" s="2" t="str">
        <f>[1]Sheet1!M612</f>
        <v>男</v>
      </c>
      <c r="C612" s="3" t="str" cm="1">
        <f t="array" ref="C6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12" s="2" t="str">
        <f>MID([1]Sheet1!F612,FIND("(",[1]Sheet1!F612)+1,FIND("-",[1]Sheet1!F612)-FIND("(",[1]Sheet1!F612)-1)</f>
        <v>广东</v>
      </c>
      <c r="E612" s="2" t="str">
        <f>MID([1]Sheet1!F612,FIND("-",[1]Sheet1!F612)+1,FIND(")",[1]Sheet1!F612)-FIND("-",[1]Sheet1!F612)-1)</f>
        <v>深圳</v>
      </c>
      <c r="F612" s="2" t="s">
        <v>42</v>
      </c>
      <c r="G612" s="2" t="s">
        <v>50</v>
      </c>
      <c r="H612" s="2" t="s">
        <v>33</v>
      </c>
      <c r="I612" s="2" t="s">
        <v>51</v>
      </c>
      <c r="J612" s="2" t="s">
        <v>22</v>
      </c>
      <c r="K612" s="2" t="s">
        <v>121</v>
      </c>
      <c r="L612" s="2" t="s">
        <v>24</v>
      </c>
      <c r="M612" s="2" t="s">
        <v>36</v>
      </c>
      <c r="N612" s="2" t="s">
        <v>37</v>
      </c>
      <c r="O612" s="2" t="s">
        <v>204</v>
      </c>
      <c r="P612" s="2" t="s">
        <v>39</v>
      </c>
      <c r="Q612" s="2" t="s">
        <v>714</v>
      </c>
    </row>
    <row r="613" spans="1:17">
      <c r="A613" s="2" t="s">
        <v>908</v>
      </c>
      <c r="B613" s="2" t="str">
        <f>[1]Sheet1!M613</f>
        <v>男</v>
      </c>
      <c r="C613" s="3" t="str" cm="1">
        <f t="array" ref="C6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613" s="2" t="str">
        <f>MID([1]Sheet1!F613,FIND("(",[1]Sheet1!F613)+1,FIND("-",[1]Sheet1!F613)-FIND("(",[1]Sheet1!F613)-1)</f>
        <v>吉林</v>
      </c>
      <c r="E613" s="2" t="str">
        <f>MID([1]Sheet1!F613,FIND("-",[1]Sheet1!F613)+1,FIND(")",[1]Sheet1!F613)-FIND("-",[1]Sheet1!F613)-1)</f>
        <v>长春</v>
      </c>
      <c r="F613" s="2" t="s">
        <v>88</v>
      </c>
      <c r="G613" s="2" t="s">
        <v>162</v>
      </c>
      <c r="H613" s="2" t="s">
        <v>33</v>
      </c>
      <c r="I613" s="2" t="s">
        <v>21</v>
      </c>
      <c r="J613" s="2" t="s">
        <v>77</v>
      </c>
      <c r="K613" s="2" t="s">
        <v>412</v>
      </c>
      <c r="L613" s="2" t="s">
        <v>24</v>
      </c>
      <c r="M613" s="2" t="s">
        <v>71</v>
      </c>
      <c r="N613" s="2" t="s">
        <v>46</v>
      </c>
      <c r="O613" s="2" t="s">
        <v>27</v>
      </c>
      <c r="P613" s="2" t="s">
        <v>28</v>
      </c>
      <c r="Q613" s="2" t="s">
        <v>68</v>
      </c>
    </row>
    <row r="614" spans="1:17">
      <c r="A614" s="2" t="s">
        <v>909</v>
      </c>
      <c r="B614" s="2" t="str">
        <f>[1]Sheet1!M614</f>
        <v>男</v>
      </c>
      <c r="C614" s="3" t="str" cm="1">
        <f t="array" ref="C6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614" s="2" t="str">
        <f>MID([1]Sheet1!F614,FIND("(",[1]Sheet1!F614)+1,FIND("-",[1]Sheet1!F614)-FIND("(",[1]Sheet1!F614)-1)</f>
        <v>辽宁</v>
      </c>
      <c r="E614" s="2" t="str">
        <f>MID([1]Sheet1!F614,FIND("-",[1]Sheet1!F614)+1,FIND(")",[1]Sheet1!F614)-FIND("-",[1]Sheet1!F614)-1)</f>
        <v>沈阳</v>
      </c>
      <c r="F614" s="2" t="s">
        <v>31</v>
      </c>
      <c r="G614" s="2" t="s">
        <v>50</v>
      </c>
      <c r="H614" s="2" t="s">
        <v>66</v>
      </c>
      <c r="I614" s="2" t="s">
        <v>120</v>
      </c>
      <c r="J614" s="2" t="s">
        <v>96</v>
      </c>
      <c r="K614" s="2" t="s">
        <v>117</v>
      </c>
      <c r="L614" s="2" t="s">
        <v>24</v>
      </c>
      <c r="M614" s="2" t="s">
        <v>36</v>
      </c>
      <c r="N614" s="2" t="s">
        <v>37</v>
      </c>
      <c r="O614" s="2" t="s">
        <v>545</v>
      </c>
      <c r="P614" s="2" t="s">
        <v>63</v>
      </c>
      <c r="Q614" s="2" t="s">
        <v>68</v>
      </c>
    </row>
    <row r="615" spans="1:17">
      <c r="A615" s="2" t="s">
        <v>910</v>
      </c>
      <c r="B615" s="2" t="str">
        <f>[1]Sheet1!M615</f>
        <v>女</v>
      </c>
      <c r="C615" s="3" t="str" cm="1">
        <f t="array" ref="C6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15" s="2" t="str">
        <f>MID([1]Sheet1!F615,FIND("(",[1]Sheet1!F615)+1,FIND("-",[1]Sheet1!F615)-FIND("(",[1]Sheet1!F615)-1)</f>
        <v>广东</v>
      </c>
      <c r="E615" s="2" t="str">
        <f>MID([1]Sheet1!F615,FIND("-",[1]Sheet1!F615)+1,FIND(")",[1]Sheet1!F615)-FIND("-",[1]Sheet1!F615)-1)</f>
        <v>广州</v>
      </c>
      <c r="F615" s="2" t="s">
        <v>18</v>
      </c>
      <c r="G615" s="2" t="s">
        <v>32</v>
      </c>
      <c r="H615" s="2" t="s">
        <v>66</v>
      </c>
      <c r="I615" s="2" t="s">
        <v>34</v>
      </c>
      <c r="J615" s="2" t="s">
        <v>82</v>
      </c>
      <c r="K615" s="2" t="s">
        <v>117</v>
      </c>
      <c r="L615" s="2" t="s">
        <v>24</v>
      </c>
      <c r="M615" s="2" t="s">
        <v>126</v>
      </c>
      <c r="N615" s="2" t="s">
        <v>46</v>
      </c>
      <c r="O615" s="2" t="s">
        <v>47</v>
      </c>
      <c r="P615" s="2" t="s">
        <v>289</v>
      </c>
      <c r="Q615" s="2" t="s">
        <v>911</v>
      </c>
    </row>
    <row r="616" spans="1:17">
      <c r="A616" s="2" t="s">
        <v>894</v>
      </c>
      <c r="B616" s="2" t="str">
        <f>[1]Sheet1!M616</f>
        <v>女</v>
      </c>
      <c r="C616" s="3" t="str" cm="1">
        <f t="array" ref="C6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16" s="2" t="str">
        <f>MID([1]Sheet1!F616,FIND("(",[1]Sheet1!F616)+1,FIND("-",[1]Sheet1!F616)-FIND("(",[1]Sheet1!F616)-1)</f>
        <v>河南</v>
      </c>
      <c r="E616" s="2" t="str">
        <f>MID([1]Sheet1!F616,FIND("-",[1]Sheet1!F616)+1,FIND(")",[1]Sheet1!F616)-FIND("-",[1]Sheet1!F616)-1)</f>
        <v>南阳</v>
      </c>
      <c r="F616" s="2" t="s">
        <v>42</v>
      </c>
      <c r="G616" s="2" t="s">
        <v>50</v>
      </c>
      <c r="H616" s="2" t="s">
        <v>20</v>
      </c>
      <c r="I616" s="2" t="s">
        <v>51</v>
      </c>
      <c r="J616" s="2" t="s">
        <v>44</v>
      </c>
      <c r="K616" s="2" t="s">
        <v>121</v>
      </c>
      <c r="L616" s="2" t="s">
        <v>24</v>
      </c>
      <c r="M616" s="2" t="s">
        <v>84</v>
      </c>
      <c r="N616" s="2" t="s">
        <v>37</v>
      </c>
      <c r="O616" s="2" t="s">
        <v>450</v>
      </c>
      <c r="P616" s="2" t="s">
        <v>218</v>
      </c>
      <c r="Q616" s="2" t="s">
        <v>48</v>
      </c>
    </row>
    <row r="617" spans="1:17">
      <c r="A617" s="2" t="s">
        <v>912</v>
      </c>
      <c r="B617" s="2" t="str">
        <f>[1]Sheet1!M617</f>
        <v>女</v>
      </c>
      <c r="C617" s="3" t="str" cm="1">
        <f t="array" ref="C6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17" s="2" t="str">
        <f>MID([1]Sheet1!F617,FIND("(",[1]Sheet1!F617)+1,FIND("-",[1]Sheet1!F617)-FIND("(",[1]Sheet1!F617)-1)</f>
        <v>河南</v>
      </c>
      <c r="E617" s="2" t="str">
        <f>MID([1]Sheet1!F617,FIND("-",[1]Sheet1!F617)+1,FIND(")",[1]Sheet1!F617)-FIND("-",[1]Sheet1!F617)-1)</f>
        <v>郑州</v>
      </c>
      <c r="F617" s="2" t="s">
        <v>42</v>
      </c>
      <c r="G617" s="2" t="s">
        <v>32</v>
      </c>
      <c r="H617" s="2" t="s">
        <v>20</v>
      </c>
      <c r="I617" s="2" t="s">
        <v>51</v>
      </c>
      <c r="J617" s="2" t="s">
        <v>44</v>
      </c>
      <c r="K617" s="2" t="s">
        <v>130</v>
      </c>
      <c r="L617" s="2" t="s">
        <v>24</v>
      </c>
      <c r="M617" s="2" t="s">
        <v>36</v>
      </c>
      <c r="N617" s="2" t="s">
        <v>46</v>
      </c>
      <c r="O617" s="2" t="s">
        <v>47</v>
      </c>
      <c r="P617" s="2" t="s">
        <v>39</v>
      </c>
      <c r="Q617" s="2" t="s">
        <v>400</v>
      </c>
    </row>
    <row r="618" spans="1:17">
      <c r="A618" s="2" t="s">
        <v>913</v>
      </c>
      <c r="B618" s="2" t="str">
        <f>[1]Sheet1!M618</f>
        <v>女</v>
      </c>
      <c r="C618" s="3" t="str" cm="1">
        <f t="array" ref="C6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18" s="2" t="str">
        <f>MID([1]Sheet1!F618,FIND("(",[1]Sheet1!F618)+1,FIND("-",[1]Sheet1!F618)-FIND("(",[1]Sheet1!F618)-1)</f>
        <v>河南</v>
      </c>
      <c r="E618" s="2" t="str">
        <f>MID([1]Sheet1!F618,FIND("-",[1]Sheet1!F618)+1,FIND(")",[1]Sheet1!F618)-FIND("-",[1]Sheet1!F618)-1)</f>
        <v>郑州</v>
      </c>
      <c r="F618" s="2" t="s">
        <v>18</v>
      </c>
      <c r="G618" s="2" t="s">
        <v>50</v>
      </c>
      <c r="H618" s="2" t="s">
        <v>66</v>
      </c>
      <c r="I618" s="2" t="s">
        <v>51</v>
      </c>
      <c r="J618" s="2" t="s">
        <v>56</v>
      </c>
      <c r="K618" s="2" t="s">
        <v>397</v>
      </c>
      <c r="L618" s="2" t="s">
        <v>24</v>
      </c>
      <c r="M618" s="2" t="s">
        <v>36</v>
      </c>
      <c r="N618" s="2" t="s">
        <v>105</v>
      </c>
      <c r="O618" s="2" t="s">
        <v>914</v>
      </c>
      <c r="P618" s="2" t="s">
        <v>39</v>
      </c>
      <c r="Q618" s="2" t="s">
        <v>68</v>
      </c>
    </row>
    <row r="619" spans="1:17">
      <c r="A619" s="2" t="s">
        <v>915</v>
      </c>
      <c r="B619" s="2" t="str">
        <f>[1]Sheet1!M619</f>
        <v>男</v>
      </c>
      <c r="C619" s="3" t="str" cm="1">
        <f t="array" ref="C6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19" s="2" t="str">
        <f>MID([1]Sheet1!F619,FIND("(",[1]Sheet1!F619)+1,FIND("-",[1]Sheet1!F619)-FIND("(",[1]Sheet1!F619)-1)</f>
        <v>广东</v>
      </c>
      <c r="E619" s="2" t="str">
        <f>MID([1]Sheet1!F619,FIND("-",[1]Sheet1!F619)+1,FIND(")",[1]Sheet1!F619)-FIND("-",[1]Sheet1!F619)-1)</f>
        <v>深圳</v>
      </c>
      <c r="F619" s="2" t="s">
        <v>42</v>
      </c>
      <c r="G619" s="2" t="s">
        <v>81</v>
      </c>
      <c r="H619" s="2" t="s">
        <v>66</v>
      </c>
      <c r="I619" s="2" t="s">
        <v>34</v>
      </c>
      <c r="J619" s="2" t="s">
        <v>82</v>
      </c>
      <c r="K619" s="2" t="s">
        <v>117</v>
      </c>
      <c r="L619" s="2" t="s">
        <v>24</v>
      </c>
      <c r="M619" s="2" t="s">
        <v>25</v>
      </c>
      <c r="N619" s="2" t="s">
        <v>46</v>
      </c>
      <c r="O619" s="2" t="s">
        <v>301</v>
      </c>
      <c r="P619" s="2" t="s">
        <v>39</v>
      </c>
      <c r="Q619" s="2" t="s">
        <v>916</v>
      </c>
    </row>
    <row r="620" spans="1:17">
      <c r="A620" s="2" t="s">
        <v>917</v>
      </c>
      <c r="B620" s="2" t="str">
        <f>[1]Sheet1!M620</f>
        <v>男</v>
      </c>
      <c r="C620" s="3" t="str" cm="1">
        <f t="array" ref="C6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0" s="2" t="str">
        <f>MID([1]Sheet1!F620,FIND("(",[1]Sheet1!F620)+1,FIND("-",[1]Sheet1!F620)-FIND("(",[1]Sheet1!F620)-1)</f>
        <v>广东</v>
      </c>
      <c r="E620" s="2" t="str">
        <f>MID([1]Sheet1!F620,FIND("-",[1]Sheet1!F620)+1,FIND(")",[1]Sheet1!F620)-FIND("-",[1]Sheet1!F620)-1)</f>
        <v>广州</v>
      </c>
      <c r="F620" s="2" t="s">
        <v>159</v>
      </c>
      <c r="G620" s="2" t="s">
        <v>50</v>
      </c>
      <c r="H620" s="2" t="s">
        <v>66</v>
      </c>
      <c r="I620" s="2" t="s">
        <v>51</v>
      </c>
      <c r="J620" s="2" t="s">
        <v>56</v>
      </c>
      <c r="K620" s="2" t="s">
        <v>115</v>
      </c>
      <c r="L620" s="2" t="s">
        <v>24</v>
      </c>
      <c r="M620" s="2" t="s">
        <v>36</v>
      </c>
      <c r="N620" s="2" t="s">
        <v>26</v>
      </c>
      <c r="O620" s="2" t="s">
        <v>47</v>
      </c>
      <c r="P620" s="2" t="s">
        <v>59</v>
      </c>
      <c r="Q620" s="2" t="s">
        <v>123</v>
      </c>
    </row>
    <row r="621" spans="1:17">
      <c r="A621" s="2" t="s">
        <v>918</v>
      </c>
      <c r="B621" s="2" t="str">
        <f>[1]Sheet1!M621</f>
        <v>男</v>
      </c>
      <c r="C621" s="3" t="str" cm="1">
        <f t="array" ref="C6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21" s="2" t="str">
        <f>MID([1]Sheet1!F621,FIND("(",[1]Sheet1!F621)+1,FIND("-",[1]Sheet1!F621)-FIND("(",[1]Sheet1!F621)-1)</f>
        <v>浙江</v>
      </c>
      <c r="E621" s="2" t="str">
        <f>MID([1]Sheet1!F621,FIND("-",[1]Sheet1!F621)+1,FIND(")",[1]Sheet1!F621)-FIND("-",[1]Sheet1!F621)-1)</f>
        <v>丽水</v>
      </c>
      <c r="F621" s="2" t="s">
        <v>31</v>
      </c>
      <c r="G621" s="2" t="s">
        <v>19</v>
      </c>
      <c r="H621" s="2" t="s">
        <v>66</v>
      </c>
      <c r="I621" s="2" t="s">
        <v>43</v>
      </c>
      <c r="J621" s="2" t="s">
        <v>77</v>
      </c>
      <c r="K621" s="2" t="s">
        <v>169</v>
      </c>
      <c r="L621" s="2" t="s">
        <v>24</v>
      </c>
      <c r="M621" s="2" t="s">
        <v>25</v>
      </c>
      <c r="N621" s="2" t="s">
        <v>26</v>
      </c>
      <c r="O621" s="2" t="s">
        <v>89</v>
      </c>
      <c r="P621" s="2" t="s">
        <v>39</v>
      </c>
      <c r="Q621" s="2" t="s">
        <v>101</v>
      </c>
    </row>
    <row r="622" spans="1:17">
      <c r="A622" s="2" t="s">
        <v>919</v>
      </c>
      <c r="B622" s="2" t="str">
        <f>[1]Sheet1!M622</f>
        <v>男</v>
      </c>
      <c r="C622" s="3" t="str" cm="1">
        <f t="array" ref="C6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22" s="2" t="str">
        <f>MID([1]Sheet1!F622,FIND("(",[1]Sheet1!F622)+1,FIND("-",[1]Sheet1!F622)-FIND("(",[1]Sheet1!F622)-1)</f>
        <v>江苏</v>
      </c>
      <c r="E622" s="2" t="str">
        <f>MID([1]Sheet1!F622,FIND("-",[1]Sheet1!F622)+1,FIND(")",[1]Sheet1!F622)-FIND("-",[1]Sheet1!F622)-1)</f>
        <v>镇江</v>
      </c>
      <c r="F622" s="2" t="s">
        <v>88</v>
      </c>
      <c r="G622" s="2" t="s">
        <v>32</v>
      </c>
      <c r="H622" s="2" t="s">
        <v>20</v>
      </c>
      <c r="I622" s="2" t="s">
        <v>51</v>
      </c>
      <c r="J622" s="2" t="s">
        <v>82</v>
      </c>
      <c r="K622" s="2" t="s">
        <v>130</v>
      </c>
      <c r="L622" s="2" t="s">
        <v>24</v>
      </c>
      <c r="M622" s="2" t="s">
        <v>78</v>
      </c>
      <c r="N622" s="2" t="s">
        <v>46</v>
      </c>
      <c r="O622" s="2" t="s">
        <v>47</v>
      </c>
      <c r="P622" s="2" t="s">
        <v>86</v>
      </c>
      <c r="Q622" s="2" t="s">
        <v>920</v>
      </c>
    </row>
    <row r="623" spans="1:17">
      <c r="A623" s="2" t="s">
        <v>921</v>
      </c>
      <c r="B623" s="2" t="str">
        <f>[1]Sheet1!M623</f>
        <v>男</v>
      </c>
      <c r="C623" s="3" t="str" cm="1">
        <f t="array" ref="C6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3" s="2" t="str">
        <f>MID([1]Sheet1!F623,FIND("(",[1]Sheet1!F623)+1,FIND("-",[1]Sheet1!F623)-FIND("(",[1]Sheet1!F623)-1)</f>
        <v>广东</v>
      </c>
      <c r="E623" s="2" t="str">
        <f>MID([1]Sheet1!F623,FIND("-",[1]Sheet1!F623)+1,FIND(")",[1]Sheet1!F623)-FIND("-",[1]Sheet1!F623)-1)</f>
        <v>广州</v>
      </c>
      <c r="F623" s="2" t="s">
        <v>159</v>
      </c>
      <c r="G623" s="2" t="s">
        <v>50</v>
      </c>
      <c r="H623" s="2" t="s">
        <v>55</v>
      </c>
      <c r="I623" s="2" t="s">
        <v>43</v>
      </c>
      <c r="J623" s="2" t="s">
        <v>96</v>
      </c>
      <c r="K623" s="2" t="s">
        <v>115</v>
      </c>
      <c r="L623" s="2" t="s">
        <v>24</v>
      </c>
      <c r="M623" s="2" t="s">
        <v>78</v>
      </c>
      <c r="N623" s="2" t="s">
        <v>37</v>
      </c>
      <c r="O623" s="2" t="s">
        <v>47</v>
      </c>
      <c r="P623" s="2" t="s">
        <v>39</v>
      </c>
      <c r="Q623" s="2" t="s">
        <v>922</v>
      </c>
    </row>
    <row r="624" spans="1:17">
      <c r="A624" s="2" t="s">
        <v>923</v>
      </c>
      <c r="B624" s="2" t="str">
        <f>[1]Sheet1!M624</f>
        <v>男</v>
      </c>
      <c r="C624" s="3" t="str" cm="1">
        <f t="array" ref="C6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4" s="2" t="str">
        <f>MID([1]Sheet1!F624,FIND("(",[1]Sheet1!F624)+1,FIND("-",[1]Sheet1!F624)-FIND("(",[1]Sheet1!F624)-1)</f>
        <v>广东</v>
      </c>
      <c r="E624" s="2" t="str">
        <f>MID([1]Sheet1!F624,FIND("-",[1]Sheet1!F624)+1,FIND(")",[1]Sheet1!F624)-FIND("-",[1]Sheet1!F624)-1)</f>
        <v>广州</v>
      </c>
      <c r="F624" s="2" t="s">
        <v>88</v>
      </c>
      <c r="G624" s="2" t="s">
        <v>32</v>
      </c>
      <c r="H624" s="2" t="s">
        <v>20</v>
      </c>
      <c r="I624" s="2" t="s">
        <v>51</v>
      </c>
      <c r="J624" s="2" t="s">
        <v>82</v>
      </c>
      <c r="K624" s="2" t="s">
        <v>117</v>
      </c>
      <c r="L624" s="2" t="s">
        <v>24</v>
      </c>
      <c r="M624" s="2" t="s">
        <v>84</v>
      </c>
      <c r="N624" s="2" t="s">
        <v>46</v>
      </c>
      <c r="O624" s="2" t="s">
        <v>97</v>
      </c>
      <c r="P624" s="2" t="s">
        <v>63</v>
      </c>
      <c r="Q624" s="2" t="s">
        <v>141</v>
      </c>
    </row>
    <row r="625" spans="1:17">
      <c r="A625" s="2" t="s">
        <v>924</v>
      </c>
      <c r="B625" s="2" t="str">
        <f>[1]Sheet1!M625</f>
        <v>男</v>
      </c>
      <c r="C625" s="3" t="str" cm="1">
        <f t="array" ref="C6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5" s="2" t="str">
        <f>MID([1]Sheet1!F625,FIND("(",[1]Sheet1!F625)+1,FIND("-",[1]Sheet1!F625)-FIND("(",[1]Sheet1!F625)-1)</f>
        <v>广东</v>
      </c>
      <c r="E625" s="2" t="str">
        <f>MID([1]Sheet1!F625,FIND("-",[1]Sheet1!F625)+1,FIND(")",[1]Sheet1!F625)-FIND("-",[1]Sheet1!F625)-1)</f>
        <v>广州</v>
      </c>
      <c r="F625" s="2" t="s">
        <v>31</v>
      </c>
      <c r="G625" s="2" t="s">
        <v>19</v>
      </c>
      <c r="H625" s="2" t="s">
        <v>66</v>
      </c>
      <c r="I625" s="2" t="s">
        <v>43</v>
      </c>
      <c r="J625" s="2" t="s">
        <v>82</v>
      </c>
      <c r="K625" s="2" t="s">
        <v>130</v>
      </c>
      <c r="L625" s="2" t="s">
        <v>24</v>
      </c>
      <c r="M625" s="2" t="s">
        <v>57</v>
      </c>
      <c r="N625" s="2" t="s">
        <v>37</v>
      </c>
      <c r="O625" s="2" t="s">
        <v>925</v>
      </c>
      <c r="P625" s="2" t="s">
        <v>39</v>
      </c>
      <c r="Q625" s="2" t="s">
        <v>144</v>
      </c>
    </row>
    <row r="626" spans="1:17">
      <c r="A626" s="2" t="s">
        <v>926</v>
      </c>
      <c r="B626" s="2" t="str">
        <f>[1]Sheet1!M626</f>
        <v>男</v>
      </c>
      <c r="C626" s="3" t="str" cm="1">
        <f t="array" ref="C6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6" s="2" t="str">
        <f>MID([1]Sheet1!F626,FIND("(",[1]Sheet1!F626)+1,FIND("-",[1]Sheet1!F626)-FIND("(",[1]Sheet1!F626)-1)</f>
        <v>广东</v>
      </c>
      <c r="E626" s="2" t="str">
        <f>MID([1]Sheet1!F626,FIND("-",[1]Sheet1!F626)+1,FIND(")",[1]Sheet1!F626)-FIND("-",[1]Sheet1!F626)-1)</f>
        <v>清远</v>
      </c>
      <c r="F626" s="2" t="s">
        <v>18</v>
      </c>
      <c r="G626" s="2" t="s">
        <v>19</v>
      </c>
      <c r="H626" s="2" t="s">
        <v>20</v>
      </c>
      <c r="I626" s="2" t="s">
        <v>51</v>
      </c>
      <c r="J626" s="2" t="s">
        <v>96</v>
      </c>
      <c r="K626" s="2" t="s">
        <v>117</v>
      </c>
      <c r="L626" s="2" t="s">
        <v>24</v>
      </c>
      <c r="M626" s="2" t="s">
        <v>67</v>
      </c>
      <c r="N626" s="2" t="s">
        <v>26</v>
      </c>
      <c r="O626" s="2" t="s">
        <v>58</v>
      </c>
      <c r="P626" s="2" t="s">
        <v>39</v>
      </c>
      <c r="Q626" s="2" t="s">
        <v>927</v>
      </c>
    </row>
    <row r="627" spans="1:17">
      <c r="A627" s="2" t="s">
        <v>928</v>
      </c>
      <c r="B627" s="2" t="str">
        <f>[1]Sheet1!M627</f>
        <v>男</v>
      </c>
      <c r="C627" s="3" t="str" cm="1">
        <f t="array" ref="C6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27" s="2" t="str">
        <f>MID([1]Sheet1!F627,FIND("(",[1]Sheet1!F627)+1,FIND("-",[1]Sheet1!F627)-FIND("(",[1]Sheet1!F627)-1)</f>
        <v>山东</v>
      </c>
      <c r="E627" s="2" t="str">
        <f>MID([1]Sheet1!F627,FIND("-",[1]Sheet1!F627)+1,FIND(")",[1]Sheet1!F627)-FIND("-",[1]Sheet1!F627)-1)</f>
        <v>济南</v>
      </c>
      <c r="F627" s="2" t="s">
        <v>70</v>
      </c>
      <c r="G627" s="2" t="s">
        <v>81</v>
      </c>
      <c r="H627" s="2" t="s">
        <v>66</v>
      </c>
      <c r="I627" s="2" t="s">
        <v>34</v>
      </c>
      <c r="J627" s="2" t="s">
        <v>44</v>
      </c>
      <c r="K627" s="2" t="s">
        <v>167</v>
      </c>
      <c r="L627" s="2" t="s">
        <v>24</v>
      </c>
      <c r="M627" s="2" t="s">
        <v>67</v>
      </c>
      <c r="N627" s="2" t="s">
        <v>37</v>
      </c>
      <c r="O627" s="2" t="s">
        <v>89</v>
      </c>
      <c r="P627" s="2" t="s">
        <v>28</v>
      </c>
      <c r="Q627" s="2" t="s">
        <v>118</v>
      </c>
    </row>
    <row r="628" spans="1:17">
      <c r="A628" s="2" t="s">
        <v>929</v>
      </c>
      <c r="B628" s="2" t="str">
        <f>[1]Sheet1!M628</f>
        <v>男</v>
      </c>
      <c r="C628" s="3" t="str" cm="1">
        <f t="array" ref="C6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8" s="2" t="str">
        <f>MID([1]Sheet1!F628,FIND("(",[1]Sheet1!F628)+1,FIND("-",[1]Sheet1!F628)-FIND("(",[1]Sheet1!F628)-1)</f>
        <v>广东</v>
      </c>
      <c r="E628" s="2" t="str">
        <f>MID([1]Sheet1!F628,FIND("-",[1]Sheet1!F628)+1,FIND(")",[1]Sheet1!F628)-FIND("-",[1]Sheet1!F628)-1)</f>
        <v>广州</v>
      </c>
      <c r="F628" s="2" t="s">
        <v>18</v>
      </c>
      <c r="G628" s="2" t="s">
        <v>162</v>
      </c>
      <c r="H628" s="2" t="s">
        <v>66</v>
      </c>
      <c r="I628" s="2" t="s">
        <v>120</v>
      </c>
      <c r="J628" s="2" t="s">
        <v>82</v>
      </c>
      <c r="K628" s="2" t="s">
        <v>130</v>
      </c>
      <c r="L628" s="2" t="s">
        <v>83</v>
      </c>
      <c r="M628" s="2" t="s">
        <v>36</v>
      </c>
      <c r="N628" s="2" t="s">
        <v>105</v>
      </c>
      <c r="O628" s="2" t="s">
        <v>301</v>
      </c>
      <c r="P628" s="2" t="s">
        <v>28</v>
      </c>
      <c r="Q628" s="2" t="s">
        <v>94</v>
      </c>
    </row>
    <row r="629" spans="1:17">
      <c r="A629" s="2" t="s">
        <v>930</v>
      </c>
      <c r="B629" s="2" t="str">
        <f>[1]Sheet1!M629</f>
        <v>男</v>
      </c>
      <c r="C629" s="3" t="str" cm="1">
        <f t="array" ref="C6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29" s="2" t="str">
        <f>MID([1]Sheet1!F629,FIND("(",[1]Sheet1!F629)+1,FIND("-",[1]Sheet1!F629)-FIND("(",[1]Sheet1!F629)-1)</f>
        <v>广东</v>
      </c>
      <c r="E629" s="2" t="str">
        <f>MID([1]Sheet1!F629,FIND("-",[1]Sheet1!F629)+1,FIND(")",[1]Sheet1!F629)-FIND("-",[1]Sheet1!F629)-1)</f>
        <v>汕尾</v>
      </c>
      <c r="F629" s="2" t="s">
        <v>31</v>
      </c>
      <c r="G629" s="2" t="s">
        <v>50</v>
      </c>
      <c r="H629" s="2" t="s">
        <v>33</v>
      </c>
      <c r="I629" s="2" t="s">
        <v>211</v>
      </c>
      <c r="J629" s="2" t="s">
        <v>44</v>
      </c>
      <c r="K629" s="2" t="s">
        <v>117</v>
      </c>
      <c r="L629" s="2" t="s">
        <v>24</v>
      </c>
      <c r="M629" s="2" t="s">
        <v>36</v>
      </c>
      <c r="N629" s="2" t="s">
        <v>37</v>
      </c>
      <c r="O629" s="2" t="s">
        <v>58</v>
      </c>
      <c r="P629" s="2" t="s">
        <v>28</v>
      </c>
      <c r="Q629" s="2" t="s">
        <v>107</v>
      </c>
    </row>
    <row r="630" spans="1:17">
      <c r="A630" s="2" t="s">
        <v>931</v>
      </c>
      <c r="B630" s="2" t="str">
        <f>[1]Sheet1!M630</f>
        <v>男</v>
      </c>
      <c r="C630" s="3" t="str" cm="1">
        <f t="array" ref="C6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30" s="2" t="str">
        <f>MID([1]Sheet1!F630,FIND("(",[1]Sheet1!F630)+1,FIND("-",[1]Sheet1!F630)-FIND("(",[1]Sheet1!F630)-1)</f>
        <v>安徽</v>
      </c>
      <c r="E630" s="2" t="str">
        <f>MID([1]Sheet1!F630,FIND("-",[1]Sheet1!F630)+1,FIND(")",[1]Sheet1!F630)-FIND("-",[1]Sheet1!F630)-1)</f>
        <v>合肥</v>
      </c>
      <c r="F630" s="2" t="s">
        <v>42</v>
      </c>
      <c r="G630" s="2" t="s">
        <v>50</v>
      </c>
      <c r="H630" s="2" t="s">
        <v>20</v>
      </c>
      <c r="I630" s="2" t="s">
        <v>21</v>
      </c>
      <c r="J630" s="2" t="s">
        <v>82</v>
      </c>
      <c r="K630" s="2" t="s">
        <v>117</v>
      </c>
      <c r="L630" s="2" t="s">
        <v>24</v>
      </c>
      <c r="M630" s="2" t="s">
        <v>143</v>
      </c>
      <c r="N630" s="2" t="s">
        <v>37</v>
      </c>
      <c r="O630" s="2" t="s">
        <v>47</v>
      </c>
      <c r="P630" s="2" t="s">
        <v>179</v>
      </c>
      <c r="Q630" s="2" t="s">
        <v>68</v>
      </c>
    </row>
    <row r="631" spans="1:17">
      <c r="A631" s="2" t="s">
        <v>285</v>
      </c>
      <c r="B631" s="2" t="str">
        <f>[1]Sheet1!M631</f>
        <v>男</v>
      </c>
      <c r="C631" s="3" t="str" cm="1">
        <f t="array" ref="C6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31" s="2" t="str">
        <f>MID([1]Sheet1!F631,FIND("(",[1]Sheet1!F631)+1,FIND("-",[1]Sheet1!F631)-FIND("(",[1]Sheet1!F631)-1)</f>
        <v>广东</v>
      </c>
      <c r="E631" s="2" t="str">
        <f>MID([1]Sheet1!F631,FIND("-",[1]Sheet1!F631)+1,FIND(")",[1]Sheet1!F631)-FIND("-",[1]Sheet1!F631)-1)</f>
        <v>深圳</v>
      </c>
      <c r="F631" s="2" t="s">
        <v>42</v>
      </c>
      <c r="G631" s="2" t="s">
        <v>50</v>
      </c>
      <c r="H631" s="2" t="s">
        <v>66</v>
      </c>
      <c r="I631" s="2" t="s">
        <v>120</v>
      </c>
      <c r="J631" s="2" t="s">
        <v>96</v>
      </c>
      <c r="K631" s="2" t="s">
        <v>130</v>
      </c>
      <c r="L631" s="2" t="s">
        <v>83</v>
      </c>
      <c r="M631" s="2" t="s">
        <v>36</v>
      </c>
      <c r="N631" s="2" t="s">
        <v>37</v>
      </c>
      <c r="O631" s="2" t="s">
        <v>47</v>
      </c>
      <c r="P631" s="2" t="s">
        <v>39</v>
      </c>
      <c r="Q631" s="2" t="s">
        <v>932</v>
      </c>
    </row>
    <row r="632" spans="1:17">
      <c r="A632" s="2" t="s">
        <v>933</v>
      </c>
      <c r="B632" s="2" t="str">
        <f>[1]Sheet1!M632</f>
        <v>男</v>
      </c>
      <c r="C632" s="3" t="str" cm="1">
        <f t="array" ref="C6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32" s="2" t="str">
        <f>MID([1]Sheet1!F632,FIND("(",[1]Sheet1!F632)+1,FIND("-",[1]Sheet1!F632)-FIND("(",[1]Sheet1!F632)-1)</f>
        <v>福建</v>
      </c>
      <c r="E632" s="2" t="str">
        <f>MID([1]Sheet1!F632,FIND("-",[1]Sheet1!F632)+1,FIND(")",[1]Sheet1!F632)-FIND("-",[1]Sheet1!F632)-1)</f>
        <v>南平</v>
      </c>
      <c r="F632" s="2" t="s">
        <v>42</v>
      </c>
      <c r="G632" s="2" t="s">
        <v>19</v>
      </c>
      <c r="H632" s="2" t="s">
        <v>66</v>
      </c>
      <c r="I632" s="2" t="s">
        <v>34</v>
      </c>
      <c r="J632" s="2" t="s">
        <v>56</v>
      </c>
      <c r="K632" s="2" t="s">
        <v>115</v>
      </c>
      <c r="L632" s="2" t="s">
        <v>83</v>
      </c>
      <c r="M632" s="2" t="s">
        <v>25</v>
      </c>
      <c r="N632" s="2" t="s">
        <v>37</v>
      </c>
      <c r="O632" s="2" t="s">
        <v>58</v>
      </c>
      <c r="P632" s="2" t="s">
        <v>28</v>
      </c>
      <c r="Q632" s="2" t="s">
        <v>98</v>
      </c>
    </row>
    <row r="633" spans="1:17">
      <c r="A633" s="2" t="s">
        <v>934</v>
      </c>
      <c r="B633" s="2" t="str">
        <f>[1]Sheet1!M633</f>
        <v>男</v>
      </c>
      <c r="C633" s="3" t="str" cm="1">
        <f t="array" ref="C6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33" s="2" t="str">
        <f>MID([1]Sheet1!F633,FIND("(",[1]Sheet1!F633)+1,FIND("-",[1]Sheet1!F633)-FIND("(",[1]Sheet1!F633)-1)</f>
        <v>广东</v>
      </c>
      <c r="E633" s="2" t="str">
        <f>MID([1]Sheet1!F633,FIND("-",[1]Sheet1!F633)+1,FIND(")",[1]Sheet1!F633)-FIND("-",[1]Sheet1!F633)-1)</f>
        <v>东莞</v>
      </c>
      <c r="F633" s="2" t="s">
        <v>18</v>
      </c>
      <c r="G633" s="2" t="s">
        <v>32</v>
      </c>
      <c r="H633" s="2" t="s">
        <v>33</v>
      </c>
      <c r="I633" s="2" t="s">
        <v>51</v>
      </c>
      <c r="J633" s="2" t="s">
        <v>82</v>
      </c>
      <c r="K633" s="2" t="s">
        <v>115</v>
      </c>
      <c r="L633" s="2" t="s">
        <v>24</v>
      </c>
      <c r="M633" s="2" t="s">
        <v>126</v>
      </c>
      <c r="N633" s="2" t="s">
        <v>37</v>
      </c>
      <c r="O633" s="2" t="s">
        <v>47</v>
      </c>
      <c r="P633" s="2" t="s">
        <v>63</v>
      </c>
      <c r="Q633" s="2" t="s">
        <v>68</v>
      </c>
    </row>
    <row r="634" spans="1:17">
      <c r="A634" s="2" t="s">
        <v>935</v>
      </c>
      <c r="B634" s="2" t="str">
        <f>[1]Sheet1!M634</f>
        <v>男</v>
      </c>
      <c r="C634" s="3" t="str" cm="1">
        <f t="array" ref="C6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634" s="2" t="str">
        <f>MID([1]Sheet1!F634,FIND("(",[1]Sheet1!F634)+1,FIND("-",[1]Sheet1!F634)-FIND("(",[1]Sheet1!F634)-1)</f>
        <v>天津</v>
      </c>
      <c r="E634" s="2" t="str">
        <f>MID([1]Sheet1!F634,FIND("-",[1]Sheet1!F634)+1,FIND(")",[1]Sheet1!F634)-FIND("-",[1]Sheet1!F634)-1)</f>
        <v>天津</v>
      </c>
      <c r="F634" s="2" t="s">
        <v>42</v>
      </c>
      <c r="G634" s="2" t="s">
        <v>50</v>
      </c>
      <c r="H634" s="2" t="s">
        <v>20</v>
      </c>
      <c r="I634" s="2" t="s">
        <v>43</v>
      </c>
      <c r="J634" s="2" t="s">
        <v>82</v>
      </c>
      <c r="K634" s="2" t="s">
        <v>304</v>
      </c>
      <c r="L634" s="2" t="s">
        <v>24</v>
      </c>
      <c r="M634" s="2" t="s">
        <v>36</v>
      </c>
      <c r="N634" s="2" t="s">
        <v>37</v>
      </c>
      <c r="O634" s="2" t="s">
        <v>27</v>
      </c>
      <c r="P634" s="2" t="s">
        <v>39</v>
      </c>
      <c r="Q634" s="2" t="s">
        <v>40</v>
      </c>
    </row>
    <row r="635" spans="1:17">
      <c r="A635" s="2" t="s">
        <v>936</v>
      </c>
      <c r="B635" s="2" t="str">
        <f>[1]Sheet1!M635</f>
        <v>男</v>
      </c>
      <c r="C635" s="3" t="str" cm="1">
        <f t="array" ref="C6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35" s="2" t="str">
        <f>MID([1]Sheet1!F635,FIND("(",[1]Sheet1!F635)+1,FIND("-",[1]Sheet1!F635)-FIND("(",[1]Sheet1!F635)-1)</f>
        <v>广东</v>
      </c>
      <c r="E635" s="2" t="str">
        <f>MID([1]Sheet1!F635,FIND("-",[1]Sheet1!F635)+1,FIND(")",[1]Sheet1!F635)-FIND("-",[1]Sheet1!F635)-1)</f>
        <v>深圳</v>
      </c>
      <c r="F635" s="2" t="s">
        <v>31</v>
      </c>
      <c r="G635" s="2" t="s">
        <v>50</v>
      </c>
      <c r="H635" s="2" t="s">
        <v>20</v>
      </c>
      <c r="I635" s="2" t="s">
        <v>120</v>
      </c>
      <c r="J635" s="2" t="s">
        <v>22</v>
      </c>
      <c r="K635" s="2" t="s">
        <v>121</v>
      </c>
      <c r="L635" s="2" t="s">
        <v>24</v>
      </c>
      <c r="M635" s="2" t="s">
        <v>36</v>
      </c>
      <c r="N635" s="2" t="s">
        <v>37</v>
      </c>
      <c r="O635" s="2" t="s">
        <v>89</v>
      </c>
      <c r="P635" s="2" t="s">
        <v>85</v>
      </c>
      <c r="Q635" s="2" t="s">
        <v>937</v>
      </c>
    </row>
    <row r="636" spans="1:17">
      <c r="A636" s="2" t="s">
        <v>938</v>
      </c>
      <c r="B636" s="2" t="str">
        <f>[1]Sheet1!M636</f>
        <v>男</v>
      </c>
      <c r="C636" s="3" t="str" cm="1">
        <f t="array" ref="C6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36" s="2" t="str">
        <f>MID([1]Sheet1!F636,FIND("(",[1]Sheet1!F636)+1,FIND("-",[1]Sheet1!F636)-FIND("(",[1]Sheet1!F636)-1)</f>
        <v>湖南</v>
      </c>
      <c r="E636" s="2" t="str">
        <f>MID([1]Sheet1!F636,FIND("-",[1]Sheet1!F636)+1,FIND(")",[1]Sheet1!F636)-FIND("-",[1]Sheet1!F636)-1)</f>
        <v>株洲</v>
      </c>
      <c r="F636" s="2" t="s">
        <v>31</v>
      </c>
      <c r="G636" s="2" t="s">
        <v>50</v>
      </c>
      <c r="H636" s="2" t="s">
        <v>66</v>
      </c>
      <c r="I636" s="2" t="s">
        <v>120</v>
      </c>
      <c r="J636" s="2" t="s">
        <v>96</v>
      </c>
      <c r="K636" s="2" t="s">
        <v>169</v>
      </c>
      <c r="L636" s="2" t="s">
        <v>24</v>
      </c>
      <c r="M636" s="2" t="s">
        <v>25</v>
      </c>
      <c r="N636" s="2" t="s">
        <v>46</v>
      </c>
      <c r="O636" s="2" t="s">
        <v>47</v>
      </c>
      <c r="P636" s="2" t="s">
        <v>179</v>
      </c>
      <c r="Q636" s="2" t="s">
        <v>48</v>
      </c>
    </row>
    <row r="637" spans="1:17">
      <c r="A637" s="2" t="s">
        <v>939</v>
      </c>
      <c r="B637" s="2" t="str">
        <f>[1]Sheet1!M637</f>
        <v>男</v>
      </c>
      <c r="C637" s="3" t="str" cm="1">
        <f t="array" ref="C6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37" s="2" t="str">
        <f>MID([1]Sheet1!F637,FIND("(",[1]Sheet1!F637)+1,FIND("-",[1]Sheet1!F637)-FIND("(",[1]Sheet1!F637)-1)</f>
        <v>山东</v>
      </c>
      <c r="E637" s="2" t="str">
        <f>MID([1]Sheet1!F637,FIND("-",[1]Sheet1!F637)+1,FIND(")",[1]Sheet1!F637)-FIND("-",[1]Sheet1!F637)-1)</f>
        <v>济南</v>
      </c>
      <c r="F637" s="2" t="s">
        <v>159</v>
      </c>
      <c r="G637" s="2" t="s">
        <v>50</v>
      </c>
      <c r="H637" s="2" t="s">
        <v>20</v>
      </c>
      <c r="I637" s="2" t="s">
        <v>43</v>
      </c>
      <c r="J637" s="2" t="s">
        <v>82</v>
      </c>
      <c r="K637" s="2" t="s">
        <v>121</v>
      </c>
      <c r="L637" s="2" t="s">
        <v>24</v>
      </c>
      <c r="M637" s="2" t="s">
        <v>36</v>
      </c>
      <c r="N637" s="2" t="s">
        <v>37</v>
      </c>
      <c r="O637" s="2" t="s">
        <v>58</v>
      </c>
      <c r="P637" s="2" t="s">
        <v>39</v>
      </c>
      <c r="Q637" s="2" t="s">
        <v>441</v>
      </c>
    </row>
    <row r="638" spans="1:17">
      <c r="A638" s="2" t="s">
        <v>940</v>
      </c>
      <c r="B638" s="2" t="str">
        <f>[1]Sheet1!M638</f>
        <v>男</v>
      </c>
      <c r="C638" s="3" t="str" cm="1">
        <f t="array" ref="C6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38" s="2" t="str">
        <f>MID([1]Sheet1!F638,FIND("(",[1]Sheet1!F638)+1,FIND("-",[1]Sheet1!F638)-FIND("(",[1]Sheet1!F638)-1)</f>
        <v>广东</v>
      </c>
      <c r="E638" s="2" t="str">
        <f>MID([1]Sheet1!F638,FIND("-",[1]Sheet1!F638)+1,FIND(")",[1]Sheet1!F638)-FIND("-",[1]Sheet1!F638)-1)</f>
        <v>东莞</v>
      </c>
      <c r="F638" s="2" t="s">
        <v>31</v>
      </c>
      <c r="G638" s="2" t="s">
        <v>81</v>
      </c>
      <c r="H638" s="2" t="s">
        <v>33</v>
      </c>
      <c r="I638" s="2" t="s">
        <v>51</v>
      </c>
      <c r="J638" s="2" t="s">
        <v>96</v>
      </c>
      <c r="K638" s="2" t="s">
        <v>495</v>
      </c>
      <c r="L638" s="2" t="s">
        <v>24</v>
      </c>
      <c r="M638" s="2" t="s">
        <v>25</v>
      </c>
      <c r="N638" s="2" t="s">
        <v>85</v>
      </c>
      <c r="O638" s="2" t="s">
        <v>47</v>
      </c>
      <c r="P638" s="2" t="s">
        <v>59</v>
      </c>
      <c r="Q638" s="2" t="s">
        <v>400</v>
      </c>
    </row>
    <row r="639" spans="1:17">
      <c r="A639" s="2" t="s">
        <v>941</v>
      </c>
      <c r="B639" s="2" t="str">
        <f>[1]Sheet1!M639</f>
        <v>男</v>
      </c>
      <c r="C639" s="3" t="str" cm="1">
        <f t="array" ref="C6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39" s="2" t="str">
        <f>MID([1]Sheet1!F639,FIND("(",[1]Sheet1!F639)+1,FIND("-",[1]Sheet1!F639)-FIND("(",[1]Sheet1!F639)-1)</f>
        <v>山东</v>
      </c>
      <c r="E639" s="2" t="str">
        <f>MID([1]Sheet1!F639,FIND("-",[1]Sheet1!F639)+1,FIND(")",[1]Sheet1!F639)-FIND("-",[1]Sheet1!F639)-1)</f>
        <v>临沂</v>
      </c>
      <c r="F639" s="2" t="s">
        <v>42</v>
      </c>
      <c r="G639" s="2" t="s">
        <v>114</v>
      </c>
      <c r="H639" s="2" t="s">
        <v>20</v>
      </c>
      <c r="I639" s="2" t="s">
        <v>21</v>
      </c>
      <c r="J639" s="2" t="s">
        <v>82</v>
      </c>
      <c r="K639" s="2" t="s">
        <v>115</v>
      </c>
      <c r="L639" s="2" t="s">
        <v>24</v>
      </c>
      <c r="M639" s="2" t="s">
        <v>57</v>
      </c>
      <c r="N639" s="2" t="s">
        <v>37</v>
      </c>
      <c r="O639" s="2" t="s">
        <v>58</v>
      </c>
      <c r="P639" s="2" t="s">
        <v>86</v>
      </c>
      <c r="Q639" s="2" t="s">
        <v>214</v>
      </c>
    </row>
    <row r="640" spans="1:17">
      <c r="A640" s="2" t="s">
        <v>942</v>
      </c>
      <c r="B640" s="2" t="str">
        <f>[1]Sheet1!M640</f>
        <v>男</v>
      </c>
      <c r="C640" s="3" t="str" cm="1">
        <f t="array" ref="C6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40" s="2" t="str">
        <f>MID([1]Sheet1!F640,FIND("(",[1]Sheet1!F640)+1,FIND("-",[1]Sheet1!F640)-FIND("(",[1]Sheet1!F640)-1)</f>
        <v>山东</v>
      </c>
      <c r="E640" s="2" t="str">
        <f>MID([1]Sheet1!F640,FIND("-",[1]Sheet1!F640)+1,FIND(")",[1]Sheet1!F640)-FIND("-",[1]Sheet1!F640)-1)</f>
        <v>济南</v>
      </c>
      <c r="F640" s="2" t="s">
        <v>42</v>
      </c>
      <c r="G640" s="2" t="s">
        <v>50</v>
      </c>
      <c r="H640" s="2" t="s">
        <v>66</v>
      </c>
      <c r="I640" s="2" t="s">
        <v>73</v>
      </c>
      <c r="J640" s="2" t="s">
        <v>82</v>
      </c>
      <c r="K640" s="2" t="s">
        <v>470</v>
      </c>
      <c r="L640" s="2" t="s">
        <v>24</v>
      </c>
      <c r="M640" s="2" t="s">
        <v>36</v>
      </c>
      <c r="N640" s="2" t="s">
        <v>26</v>
      </c>
      <c r="O640" s="2" t="s">
        <v>178</v>
      </c>
      <c r="P640" s="2" t="s">
        <v>85</v>
      </c>
      <c r="Q640" s="2" t="s">
        <v>40</v>
      </c>
    </row>
    <row r="641" spans="1:17">
      <c r="A641" s="2" t="s">
        <v>943</v>
      </c>
      <c r="B641" s="2" t="str">
        <f>[1]Sheet1!M641</f>
        <v>男</v>
      </c>
      <c r="C641" s="3" t="str" cm="1">
        <f t="array" ref="C6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41" s="2" t="str">
        <f>MID([1]Sheet1!F641,FIND("(",[1]Sheet1!F641)+1,FIND("-",[1]Sheet1!F641)-FIND("(",[1]Sheet1!F641)-1)</f>
        <v>江苏</v>
      </c>
      <c r="E641" s="2" t="str">
        <f>MID([1]Sheet1!F641,FIND("-",[1]Sheet1!F641)+1,FIND(")",[1]Sheet1!F641)-FIND("-",[1]Sheet1!F641)-1)</f>
        <v>南京</v>
      </c>
      <c r="F641" s="2" t="s">
        <v>31</v>
      </c>
      <c r="G641" s="2" t="s">
        <v>81</v>
      </c>
      <c r="H641" s="2" t="s">
        <v>20</v>
      </c>
      <c r="I641" s="2" t="s">
        <v>120</v>
      </c>
      <c r="J641" s="2" t="s">
        <v>82</v>
      </c>
      <c r="K641" s="2" t="s">
        <v>137</v>
      </c>
      <c r="L641" s="2" t="s">
        <v>24</v>
      </c>
      <c r="M641" s="2" t="s">
        <v>84</v>
      </c>
      <c r="N641" s="2" t="s">
        <v>37</v>
      </c>
      <c r="O641" s="2" t="s">
        <v>202</v>
      </c>
      <c r="P641" s="2" t="s">
        <v>218</v>
      </c>
      <c r="Q641" s="2" t="s">
        <v>29</v>
      </c>
    </row>
    <row r="642" spans="1:17">
      <c r="A642" s="2" t="s">
        <v>944</v>
      </c>
      <c r="B642" s="2" t="str">
        <f>[1]Sheet1!M642</f>
        <v>男</v>
      </c>
      <c r="C642" s="3" t="str" cm="1">
        <f t="array" ref="C6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42" s="2" t="str">
        <f>MID([1]Sheet1!F642,FIND("(",[1]Sheet1!F642)+1,FIND("-",[1]Sheet1!F642)-FIND("(",[1]Sheet1!F642)-1)</f>
        <v>广东</v>
      </c>
      <c r="E642" s="2" t="str">
        <f>MID([1]Sheet1!F642,FIND("-",[1]Sheet1!F642)+1,FIND(")",[1]Sheet1!F642)-FIND("-",[1]Sheet1!F642)-1)</f>
        <v>深圳</v>
      </c>
      <c r="F642" s="2" t="s">
        <v>18</v>
      </c>
      <c r="G642" s="2" t="s">
        <v>32</v>
      </c>
      <c r="H642" s="2" t="s">
        <v>66</v>
      </c>
      <c r="I642" s="2" t="s">
        <v>43</v>
      </c>
      <c r="J642" s="2" t="s">
        <v>96</v>
      </c>
      <c r="K642" s="2" t="s">
        <v>117</v>
      </c>
      <c r="L642" s="2" t="s">
        <v>83</v>
      </c>
      <c r="M642" s="2" t="s">
        <v>126</v>
      </c>
      <c r="N642" s="2" t="s">
        <v>37</v>
      </c>
      <c r="O642" s="2" t="s">
        <v>47</v>
      </c>
      <c r="P642" s="2" t="s">
        <v>63</v>
      </c>
      <c r="Q642" s="2" t="s">
        <v>310</v>
      </c>
    </row>
    <row r="643" spans="1:17">
      <c r="A643" s="2" t="s">
        <v>945</v>
      </c>
      <c r="B643" s="2" t="str">
        <f>[1]Sheet1!M643</f>
        <v>女</v>
      </c>
      <c r="C643" s="3" t="str" cm="1">
        <f t="array" ref="C6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43" s="2" t="str">
        <f>MID([1]Sheet1!F643,FIND("(",[1]Sheet1!F643)+1,FIND("-",[1]Sheet1!F643)-FIND("(",[1]Sheet1!F643)-1)</f>
        <v>山东</v>
      </c>
      <c r="E643" s="2" t="str">
        <f>MID([1]Sheet1!F643,FIND("-",[1]Sheet1!F643)+1,FIND(")",[1]Sheet1!F643)-FIND("-",[1]Sheet1!F643)-1)</f>
        <v>济南</v>
      </c>
      <c r="F643" s="2" t="s">
        <v>42</v>
      </c>
      <c r="G643" s="2" t="s">
        <v>32</v>
      </c>
      <c r="H643" s="2" t="s">
        <v>33</v>
      </c>
      <c r="I643" s="2" t="s">
        <v>51</v>
      </c>
      <c r="J643" s="2" t="s">
        <v>82</v>
      </c>
      <c r="K643" s="2" t="s">
        <v>495</v>
      </c>
      <c r="L643" s="2" t="s">
        <v>24</v>
      </c>
      <c r="M643" s="2" t="s">
        <v>78</v>
      </c>
      <c r="N643" s="2" t="s">
        <v>26</v>
      </c>
      <c r="O643" s="2" t="s">
        <v>47</v>
      </c>
      <c r="P643" s="2" t="s">
        <v>179</v>
      </c>
      <c r="Q643" s="2" t="s">
        <v>206</v>
      </c>
    </row>
    <row r="644" spans="1:17">
      <c r="A644" s="2" t="s">
        <v>946</v>
      </c>
      <c r="B644" s="2" t="str">
        <f>[1]Sheet1!M644</f>
        <v>男</v>
      </c>
      <c r="C644" s="3" t="str" cm="1">
        <f t="array" ref="C6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44" s="2" t="str">
        <f>MID([1]Sheet1!F644,FIND("(",[1]Sheet1!F644)+1,FIND("-",[1]Sheet1!F644)-FIND("(",[1]Sheet1!F644)-1)</f>
        <v>广东</v>
      </c>
      <c r="E644" s="2" t="str">
        <f>MID([1]Sheet1!F644,FIND("-",[1]Sheet1!F644)+1,FIND(")",[1]Sheet1!F644)-FIND("-",[1]Sheet1!F644)-1)</f>
        <v>广州</v>
      </c>
      <c r="F644" s="2" t="s">
        <v>31</v>
      </c>
      <c r="G644" s="2" t="s">
        <v>50</v>
      </c>
      <c r="H644" s="2" t="s">
        <v>66</v>
      </c>
      <c r="I644" s="2" t="s">
        <v>120</v>
      </c>
      <c r="J644" s="2" t="s">
        <v>82</v>
      </c>
      <c r="K644" s="2" t="s">
        <v>130</v>
      </c>
      <c r="L644" s="2" t="s">
        <v>24</v>
      </c>
      <c r="M644" s="2" t="s">
        <v>36</v>
      </c>
      <c r="N644" s="2" t="s">
        <v>46</v>
      </c>
      <c r="O644" s="2" t="s">
        <v>573</v>
      </c>
      <c r="P644" s="2" t="s">
        <v>175</v>
      </c>
      <c r="Q644" s="2" t="s">
        <v>48</v>
      </c>
    </row>
    <row r="645" spans="1:17">
      <c r="A645" s="2" t="s">
        <v>947</v>
      </c>
      <c r="B645" s="2" t="str">
        <f>[1]Sheet1!M645</f>
        <v>男</v>
      </c>
      <c r="C645" s="3" t="str" cm="1">
        <f t="array" ref="C6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45" s="2" t="str">
        <f>MID([1]Sheet1!F645,FIND("(",[1]Sheet1!F645)+1,FIND("-",[1]Sheet1!F645)-FIND("(",[1]Sheet1!F645)-1)</f>
        <v>广东</v>
      </c>
      <c r="E645" s="2" t="str">
        <f>MID([1]Sheet1!F645,FIND("-",[1]Sheet1!F645)+1,FIND(")",[1]Sheet1!F645)-FIND("-",[1]Sheet1!F645)-1)</f>
        <v>东莞</v>
      </c>
      <c r="F645" s="2" t="s">
        <v>88</v>
      </c>
      <c r="G645" s="2" t="s">
        <v>19</v>
      </c>
      <c r="H645" s="2" t="s">
        <v>33</v>
      </c>
      <c r="I645" s="2" t="s">
        <v>21</v>
      </c>
      <c r="J645" s="2" t="s">
        <v>22</v>
      </c>
      <c r="K645" s="2" t="s">
        <v>822</v>
      </c>
      <c r="L645" s="2" t="s">
        <v>24</v>
      </c>
      <c r="M645" s="2" t="s">
        <v>36</v>
      </c>
      <c r="N645" s="2" t="s">
        <v>46</v>
      </c>
      <c r="O645" s="2" t="s">
        <v>47</v>
      </c>
      <c r="P645" s="2" t="s">
        <v>86</v>
      </c>
      <c r="Q645" s="2" t="s">
        <v>48</v>
      </c>
    </row>
    <row r="646" spans="1:17">
      <c r="A646" s="2" t="s">
        <v>948</v>
      </c>
      <c r="B646" s="2" t="str">
        <f>[1]Sheet1!M646</f>
        <v>男</v>
      </c>
      <c r="C646" s="3" t="str" cm="1">
        <f t="array" ref="C6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46" s="2" t="str">
        <f>MID([1]Sheet1!F646,FIND("(",[1]Sheet1!F646)+1,FIND("-",[1]Sheet1!F646)-FIND("(",[1]Sheet1!F646)-1)</f>
        <v>广东</v>
      </c>
      <c r="E646" s="2" t="str">
        <f>MID([1]Sheet1!F646,FIND("-",[1]Sheet1!F646)+1,FIND(")",[1]Sheet1!F646)-FIND("-",[1]Sheet1!F646)-1)</f>
        <v>东莞</v>
      </c>
      <c r="F646" s="2" t="s">
        <v>42</v>
      </c>
      <c r="G646" s="2" t="s">
        <v>19</v>
      </c>
      <c r="H646" s="2" t="s">
        <v>33</v>
      </c>
      <c r="I646" s="2" t="s">
        <v>43</v>
      </c>
      <c r="J646" s="2" t="s">
        <v>35</v>
      </c>
      <c r="K646" s="2" t="s">
        <v>117</v>
      </c>
      <c r="L646" s="2" t="s">
        <v>24</v>
      </c>
      <c r="M646" s="2" t="s">
        <v>36</v>
      </c>
      <c r="N646" s="2" t="s">
        <v>26</v>
      </c>
      <c r="O646" s="2" t="s">
        <v>47</v>
      </c>
      <c r="P646" s="2" t="s">
        <v>86</v>
      </c>
      <c r="Q646" s="2" t="s">
        <v>949</v>
      </c>
    </row>
    <row r="647" spans="1:17">
      <c r="A647" s="2" t="s">
        <v>950</v>
      </c>
      <c r="B647" s="2" t="str">
        <f>[1]Sheet1!M647</f>
        <v>男</v>
      </c>
      <c r="C647" s="3" t="str" cm="1">
        <f t="array" ref="C6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47" s="2" t="str">
        <f>MID([1]Sheet1!F647,FIND("(",[1]Sheet1!F647)+1,FIND("-",[1]Sheet1!F647)-FIND("(",[1]Sheet1!F647)-1)</f>
        <v>山东</v>
      </c>
      <c r="E647" s="2" t="str">
        <f>MID([1]Sheet1!F647,FIND("-",[1]Sheet1!F647)+1,FIND(")",[1]Sheet1!F647)-FIND("-",[1]Sheet1!F647)-1)</f>
        <v>青岛</v>
      </c>
      <c r="F647" s="2" t="s">
        <v>42</v>
      </c>
      <c r="G647" s="2" t="s">
        <v>81</v>
      </c>
      <c r="H647" s="2" t="s">
        <v>20</v>
      </c>
      <c r="I647" s="2" t="s">
        <v>51</v>
      </c>
      <c r="J647" s="2" t="s">
        <v>77</v>
      </c>
      <c r="K647" s="2" t="s">
        <v>385</v>
      </c>
      <c r="L647" s="2" t="s">
        <v>24</v>
      </c>
      <c r="M647" s="2" t="s">
        <v>36</v>
      </c>
      <c r="N647" s="2" t="s">
        <v>26</v>
      </c>
      <c r="O647" s="2" t="s">
        <v>58</v>
      </c>
      <c r="P647" s="2" t="s">
        <v>86</v>
      </c>
      <c r="Q647" s="2" t="s">
        <v>645</v>
      </c>
    </row>
    <row r="648" spans="1:17">
      <c r="A648" s="2" t="s">
        <v>951</v>
      </c>
      <c r="B648" s="2" t="str">
        <f>[1]Sheet1!M648</f>
        <v>男</v>
      </c>
      <c r="C648" s="3" t="str" cm="1">
        <f t="array" ref="C6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48" s="2" t="str">
        <f>MID([1]Sheet1!F648,FIND("(",[1]Sheet1!F648)+1,FIND("-",[1]Sheet1!F648)-FIND("(",[1]Sheet1!F648)-1)</f>
        <v>河南</v>
      </c>
      <c r="E648" s="2" t="str">
        <f>MID([1]Sheet1!F648,FIND("-",[1]Sheet1!F648)+1,FIND(")",[1]Sheet1!F648)-FIND("-",[1]Sheet1!F648)-1)</f>
        <v>信阳</v>
      </c>
      <c r="F648" s="2" t="s">
        <v>70</v>
      </c>
      <c r="G648" s="2" t="s">
        <v>114</v>
      </c>
      <c r="H648" s="2" t="s">
        <v>66</v>
      </c>
      <c r="I648" s="2" t="s">
        <v>21</v>
      </c>
      <c r="J648" s="2" t="s">
        <v>77</v>
      </c>
      <c r="K648" s="2" t="s">
        <v>372</v>
      </c>
      <c r="L648" s="2" t="s">
        <v>83</v>
      </c>
      <c r="M648" s="2" t="s">
        <v>78</v>
      </c>
      <c r="N648" s="2" t="s">
        <v>105</v>
      </c>
      <c r="O648" s="2" t="s">
        <v>27</v>
      </c>
      <c r="P648" s="2" t="s">
        <v>59</v>
      </c>
      <c r="Q648" s="2" t="s">
        <v>200</v>
      </c>
    </row>
    <row r="649" spans="1:17">
      <c r="A649" s="2" t="s">
        <v>952</v>
      </c>
      <c r="B649" s="2" t="str">
        <f>[1]Sheet1!M649</f>
        <v>男</v>
      </c>
      <c r="C649" s="3" t="str" cm="1">
        <f t="array" ref="C6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649" s="2" t="str">
        <f>MID([1]Sheet1!F649,FIND("(",[1]Sheet1!F649)+1,FIND("-",[1]Sheet1!F649)-FIND("(",[1]Sheet1!F649)-1)</f>
        <v>四川</v>
      </c>
      <c r="E649" s="2" t="str">
        <f>MID([1]Sheet1!F649,FIND("-",[1]Sheet1!F649)+1,FIND(")",[1]Sheet1!F649)-FIND("-",[1]Sheet1!F649)-1)</f>
        <v>成都</v>
      </c>
      <c r="F649" s="2" t="s">
        <v>31</v>
      </c>
      <c r="G649" s="2" t="s">
        <v>81</v>
      </c>
      <c r="H649" s="2" t="s">
        <v>33</v>
      </c>
      <c r="I649" s="2" t="s">
        <v>211</v>
      </c>
      <c r="J649" s="2" t="s">
        <v>96</v>
      </c>
      <c r="K649" s="2" t="s">
        <v>121</v>
      </c>
      <c r="L649" s="2" t="s">
        <v>24</v>
      </c>
      <c r="M649" s="2" t="s">
        <v>111</v>
      </c>
      <c r="N649" s="2" t="s">
        <v>46</v>
      </c>
      <c r="O649" s="2" t="s">
        <v>490</v>
      </c>
      <c r="P649" s="2" t="s">
        <v>28</v>
      </c>
      <c r="Q649" s="2" t="s">
        <v>911</v>
      </c>
    </row>
    <row r="650" spans="1:17">
      <c r="A650" s="2" t="s">
        <v>953</v>
      </c>
      <c r="B650" s="2" t="str">
        <f>[1]Sheet1!M650</f>
        <v>男</v>
      </c>
      <c r="C650" s="3" t="str" cm="1">
        <f t="array" ref="C6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50" s="2" t="str">
        <f>MID([1]Sheet1!F650,FIND("(",[1]Sheet1!F650)+1,FIND("-",[1]Sheet1!F650)-FIND("(",[1]Sheet1!F650)-1)</f>
        <v>广西</v>
      </c>
      <c r="E650" s="2" t="str">
        <f>MID([1]Sheet1!F650,FIND("-",[1]Sheet1!F650)+1,FIND(")",[1]Sheet1!F650)-FIND("-",[1]Sheet1!F650)-1)</f>
        <v>河池</v>
      </c>
      <c r="F650" s="2" t="s">
        <v>159</v>
      </c>
      <c r="G650" s="2" t="s">
        <v>32</v>
      </c>
      <c r="H650" s="2" t="s">
        <v>66</v>
      </c>
      <c r="I650" s="2" t="s">
        <v>34</v>
      </c>
      <c r="J650" s="2" t="s">
        <v>96</v>
      </c>
      <c r="K650" s="2" t="s">
        <v>223</v>
      </c>
      <c r="L650" s="2" t="s">
        <v>24</v>
      </c>
      <c r="M650" s="2" t="s">
        <v>25</v>
      </c>
      <c r="N650" s="2" t="s">
        <v>85</v>
      </c>
      <c r="O650" s="2" t="s">
        <v>47</v>
      </c>
      <c r="P650" s="2" t="s">
        <v>39</v>
      </c>
      <c r="Q650" s="2" t="s">
        <v>133</v>
      </c>
    </row>
    <row r="651" spans="1:17">
      <c r="A651" s="2" t="s">
        <v>954</v>
      </c>
      <c r="B651" s="2" t="str">
        <f>[1]Sheet1!M651</f>
        <v>男</v>
      </c>
      <c r="C651" s="3" t="str" cm="1">
        <f t="array" ref="C6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51" s="2" t="str">
        <f>MID([1]Sheet1!F651,FIND("(",[1]Sheet1!F651)+1,FIND("-",[1]Sheet1!F651)-FIND("(",[1]Sheet1!F651)-1)</f>
        <v>陕西</v>
      </c>
      <c r="E651" s="2" t="str">
        <f>MID([1]Sheet1!F651,FIND("-",[1]Sheet1!F651)+1,FIND(")",[1]Sheet1!F651)-FIND("-",[1]Sheet1!F651)-1)</f>
        <v>榆林</v>
      </c>
      <c r="F651" s="2" t="s">
        <v>18</v>
      </c>
      <c r="G651" s="2" t="s">
        <v>81</v>
      </c>
      <c r="H651" s="2" t="s">
        <v>66</v>
      </c>
      <c r="I651" s="2" t="s">
        <v>51</v>
      </c>
      <c r="J651" s="2" t="s">
        <v>35</v>
      </c>
      <c r="K651" s="2" t="s">
        <v>117</v>
      </c>
      <c r="L651" s="2" t="s">
        <v>24</v>
      </c>
      <c r="M651" s="2" t="s">
        <v>25</v>
      </c>
      <c r="N651" s="2" t="s">
        <v>37</v>
      </c>
      <c r="O651" s="2" t="s">
        <v>58</v>
      </c>
      <c r="P651" s="2" t="s">
        <v>63</v>
      </c>
      <c r="Q651" s="2" t="s">
        <v>101</v>
      </c>
    </row>
    <row r="652" spans="1:17">
      <c r="A652" s="2" t="s">
        <v>955</v>
      </c>
      <c r="B652" s="2" t="str">
        <f>[1]Sheet1!M652</f>
        <v>男</v>
      </c>
      <c r="C652" s="3" t="str" cm="1">
        <f t="array" ref="C6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52" s="2" t="str">
        <f>MID([1]Sheet1!F652,FIND("(",[1]Sheet1!F652)+1,FIND("-",[1]Sheet1!F652)-FIND("(",[1]Sheet1!F652)-1)</f>
        <v>福建</v>
      </c>
      <c r="E652" s="2" t="str">
        <f>MID([1]Sheet1!F652,FIND("-",[1]Sheet1!F652)+1,FIND(")",[1]Sheet1!F652)-FIND("-",[1]Sheet1!F652)-1)</f>
        <v>福州</v>
      </c>
      <c r="F652" s="2" t="s">
        <v>31</v>
      </c>
      <c r="G652" s="2" t="s">
        <v>19</v>
      </c>
      <c r="H652" s="2" t="s">
        <v>33</v>
      </c>
      <c r="I652" s="2" t="s">
        <v>21</v>
      </c>
      <c r="J652" s="2" t="s">
        <v>82</v>
      </c>
      <c r="K652" s="2" t="s">
        <v>130</v>
      </c>
      <c r="L652" s="2" t="s">
        <v>24</v>
      </c>
      <c r="M652" s="2" t="s">
        <v>25</v>
      </c>
      <c r="N652" s="2" t="s">
        <v>85</v>
      </c>
      <c r="O652" s="2" t="s">
        <v>58</v>
      </c>
      <c r="P652" s="2" t="s">
        <v>63</v>
      </c>
      <c r="Q652" s="2" t="s">
        <v>310</v>
      </c>
    </row>
    <row r="653" spans="1:17">
      <c r="A653" s="2" t="s">
        <v>956</v>
      </c>
      <c r="B653" s="2" t="str">
        <f>[1]Sheet1!M653</f>
        <v>男</v>
      </c>
      <c r="C653" s="3" t="str" cm="1">
        <f t="array" ref="C6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53" s="2" t="str">
        <f>MID([1]Sheet1!F653,FIND("(",[1]Sheet1!F653)+1,FIND("-",[1]Sheet1!F653)-FIND("(",[1]Sheet1!F653)-1)</f>
        <v>陕西</v>
      </c>
      <c r="E653" s="2" t="str">
        <f>MID([1]Sheet1!F653,FIND("-",[1]Sheet1!F653)+1,FIND(")",[1]Sheet1!F653)-FIND("-",[1]Sheet1!F653)-1)</f>
        <v>西安</v>
      </c>
      <c r="F653" s="2" t="s">
        <v>31</v>
      </c>
      <c r="G653" s="2" t="s">
        <v>50</v>
      </c>
      <c r="H653" s="2" t="s">
        <v>20</v>
      </c>
      <c r="I653" s="2" t="s">
        <v>21</v>
      </c>
      <c r="J653" s="2" t="s">
        <v>82</v>
      </c>
      <c r="K653" s="2" t="s">
        <v>130</v>
      </c>
      <c r="L653" s="2" t="s">
        <v>24</v>
      </c>
      <c r="M653" s="2" t="s">
        <v>67</v>
      </c>
      <c r="N653" s="2" t="s">
        <v>37</v>
      </c>
      <c r="O653" s="2" t="s">
        <v>47</v>
      </c>
      <c r="P653" s="2" t="s">
        <v>63</v>
      </c>
      <c r="Q653" s="2" t="s">
        <v>275</v>
      </c>
    </row>
    <row r="654" spans="1:17">
      <c r="A654" s="2" t="s">
        <v>957</v>
      </c>
      <c r="B654" s="2" t="str">
        <f>[1]Sheet1!M654</f>
        <v>男</v>
      </c>
      <c r="C654" s="3" t="str" cm="1">
        <f t="array" ref="C6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54" s="2" t="str">
        <f>MID([1]Sheet1!F654,FIND("(",[1]Sheet1!F654)+1,FIND("-",[1]Sheet1!F654)-FIND("(",[1]Sheet1!F654)-1)</f>
        <v>河南</v>
      </c>
      <c r="E654" s="2" t="str">
        <f>MID([1]Sheet1!F654,FIND("-",[1]Sheet1!F654)+1,FIND(")",[1]Sheet1!F654)-FIND("-",[1]Sheet1!F654)-1)</f>
        <v>平顶山</v>
      </c>
      <c r="F654" s="2" t="s">
        <v>42</v>
      </c>
      <c r="G654" s="2" t="s">
        <v>81</v>
      </c>
      <c r="H654" s="2" t="s">
        <v>66</v>
      </c>
      <c r="I654" s="2" t="s">
        <v>21</v>
      </c>
      <c r="J654" s="2" t="s">
        <v>22</v>
      </c>
      <c r="K654" s="2" t="s">
        <v>115</v>
      </c>
      <c r="L654" s="2" t="s">
        <v>24</v>
      </c>
      <c r="M654" s="2" t="s">
        <v>143</v>
      </c>
      <c r="N654" s="2" t="s">
        <v>37</v>
      </c>
      <c r="O654" s="2" t="s">
        <v>47</v>
      </c>
      <c r="P654" s="2" t="s">
        <v>63</v>
      </c>
      <c r="Q654" s="2" t="s">
        <v>101</v>
      </c>
    </row>
    <row r="655" spans="1:17">
      <c r="A655" s="2" t="s">
        <v>958</v>
      </c>
      <c r="B655" s="2" t="str">
        <f>[1]Sheet1!M655</f>
        <v>男</v>
      </c>
      <c r="C655" s="3" t="str" cm="1">
        <f t="array" ref="C6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55" s="2" t="str">
        <f>MID([1]Sheet1!F655,FIND("(",[1]Sheet1!F655)+1,FIND("-",[1]Sheet1!F655)-FIND("(",[1]Sheet1!F655)-1)</f>
        <v>河南</v>
      </c>
      <c r="E655" s="2" t="str">
        <f>MID([1]Sheet1!F655,FIND("-",[1]Sheet1!F655)+1,FIND(")",[1]Sheet1!F655)-FIND("-",[1]Sheet1!F655)-1)</f>
        <v>郑州</v>
      </c>
      <c r="F655" s="2" t="s">
        <v>18</v>
      </c>
      <c r="G655" s="2" t="s">
        <v>50</v>
      </c>
      <c r="H655" s="2" t="s">
        <v>66</v>
      </c>
      <c r="I655" s="2" t="s">
        <v>43</v>
      </c>
      <c r="J655" s="2" t="s">
        <v>82</v>
      </c>
      <c r="K655" s="2" t="s">
        <v>130</v>
      </c>
      <c r="L655" s="2" t="s">
        <v>83</v>
      </c>
      <c r="M655" s="2" t="s">
        <v>36</v>
      </c>
      <c r="N655" s="2" t="s">
        <v>85</v>
      </c>
      <c r="O655" s="2" t="s">
        <v>47</v>
      </c>
      <c r="P655" s="2" t="s">
        <v>85</v>
      </c>
      <c r="Q655" s="2" t="s">
        <v>200</v>
      </c>
    </row>
    <row r="656" spans="1:17">
      <c r="A656" s="2" t="s">
        <v>959</v>
      </c>
      <c r="B656" s="2" t="str">
        <f>[1]Sheet1!M656</f>
        <v>男</v>
      </c>
      <c r="C656" s="3" t="str" cm="1">
        <f t="array" ref="C6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56" s="2" t="str">
        <f>MID([1]Sheet1!F656,FIND("(",[1]Sheet1!F656)+1,FIND("-",[1]Sheet1!F656)-FIND("(",[1]Sheet1!F656)-1)</f>
        <v>河南</v>
      </c>
      <c r="E656" s="2" t="str">
        <f>MID([1]Sheet1!F656,FIND("-",[1]Sheet1!F656)+1,FIND(")",[1]Sheet1!F656)-FIND("-",[1]Sheet1!F656)-1)</f>
        <v>平顶山</v>
      </c>
      <c r="F656" s="2" t="s">
        <v>42</v>
      </c>
      <c r="G656" s="2" t="s">
        <v>19</v>
      </c>
      <c r="H656" s="2" t="s">
        <v>33</v>
      </c>
      <c r="I656" s="2" t="s">
        <v>21</v>
      </c>
      <c r="J656" s="2" t="s">
        <v>82</v>
      </c>
      <c r="K656" s="2" t="s">
        <v>121</v>
      </c>
      <c r="L656" s="2" t="s">
        <v>83</v>
      </c>
      <c r="M656" s="2" t="s">
        <v>36</v>
      </c>
      <c r="N656" s="2" t="s">
        <v>46</v>
      </c>
      <c r="O656" s="2" t="s">
        <v>89</v>
      </c>
      <c r="P656" s="2" t="s">
        <v>512</v>
      </c>
      <c r="Q656" s="2" t="s">
        <v>310</v>
      </c>
    </row>
    <row r="657" spans="1:17">
      <c r="A657" s="2" t="s">
        <v>958</v>
      </c>
      <c r="B657" s="2" t="str">
        <f>[1]Sheet1!M657</f>
        <v>女</v>
      </c>
      <c r="C657" s="3" t="str" cm="1">
        <f t="array" ref="C6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57" s="2" t="str">
        <f>MID([1]Sheet1!F657,FIND("(",[1]Sheet1!F657)+1,FIND("-",[1]Sheet1!F657)-FIND("(",[1]Sheet1!F657)-1)</f>
        <v>河南</v>
      </c>
      <c r="E657" s="2" t="str">
        <f>MID([1]Sheet1!F657,FIND("-",[1]Sheet1!F657)+1,FIND(")",[1]Sheet1!F657)-FIND("-",[1]Sheet1!F657)-1)</f>
        <v>郑州</v>
      </c>
      <c r="F657" s="2" t="s">
        <v>42</v>
      </c>
      <c r="G657" s="2" t="s">
        <v>50</v>
      </c>
      <c r="H657" s="2" t="s">
        <v>66</v>
      </c>
      <c r="I657" s="2" t="s">
        <v>43</v>
      </c>
      <c r="J657" s="2" t="s">
        <v>82</v>
      </c>
      <c r="K657" s="2" t="s">
        <v>130</v>
      </c>
      <c r="L657" s="2" t="s">
        <v>24</v>
      </c>
      <c r="M657" s="2" t="s">
        <v>78</v>
      </c>
      <c r="N657" s="2" t="s">
        <v>46</v>
      </c>
      <c r="O657" s="2" t="s">
        <v>47</v>
      </c>
      <c r="P657" s="2" t="s">
        <v>85</v>
      </c>
      <c r="Q657" s="2" t="s">
        <v>200</v>
      </c>
    </row>
    <row r="658" spans="1:17">
      <c r="A658" s="2" t="s">
        <v>960</v>
      </c>
      <c r="B658" s="2" t="str">
        <f>[1]Sheet1!M658</f>
        <v>男</v>
      </c>
      <c r="C658" s="3" t="str" cm="1">
        <f t="array" ref="C6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58" s="2" t="str">
        <f>MID([1]Sheet1!F658,FIND("(",[1]Sheet1!F658)+1,FIND("-",[1]Sheet1!F658)-FIND("(",[1]Sheet1!F658)-1)</f>
        <v>广东</v>
      </c>
      <c r="E658" s="2" t="str">
        <f>MID([1]Sheet1!F658,FIND("-",[1]Sheet1!F658)+1,FIND(")",[1]Sheet1!F658)-FIND("-",[1]Sheet1!F658)-1)</f>
        <v>深圳</v>
      </c>
      <c r="F658" s="2" t="s">
        <v>70</v>
      </c>
      <c r="G658" s="2" t="s">
        <v>50</v>
      </c>
      <c r="H658" s="2" t="s">
        <v>20</v>
      </c>
      <c r="I658" s="2" t="s">
        <v>43</v>
      </c>
      <c r="J658" s="2" t="s">
        <v>77</v>
      </c>
      <c r="K658" s="2" t="s">
        <v>240</v>
      </c>
      <c r="L658" s="2" t="s">
        <v>24</v>
      </c>
      <c r="M658" s="2" t="s">
        <v>143</v>
      </c>
      <c r="N658" s="2" t="s">
        <v>37</v>
      </c>
      <c r="O658" s="2" t="s">
        <v>47</v>
      </c>
      <c r="P658" s="2" t="s">
        <v>63</v>
      </c>
      <c r="Q658" s="2" t="s">
        <v>48</v>
      </c>
    </row>
    <row r="659" spans="1:17">
      <c r="A659" s="2" t="s">
        <v>961</v>
      </c>
      <c r="B659" s="2" t="str">
        <f>[1]Sheet1!M659</f>
        <v>男</v>
      </c>
      <c r="C659" s="3" t="str" cm="1">
        <f t="array" ref="C6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659" s="2" t="str">
        <f>MID([1]Sheet1!F659,FIND("(",[1]Sheet1!F659)+1,FIND("-",[1]Sheet1!F659)-FIND("(",[1]Sheet1!F659)-1)</f>
        <v>重庆</v>
      </c>
      <c r="E659" s="2" t="str">
        <f>MID([1]Sheet1!F659,FIND("-",[1]Sheet1!F659)+1,FIND(")",[1]Sheet1!F659)-FIND("-",[1]Sheet1!F659)-1)</f>
        <v>重庆</v>
      </c>
      <c r="F659" s="2" t="s">
        <v>70</v>
      </c>
      <c r="G659" s="2" t="s">
        <v>50</v>
      </c>
      <c r="H659" s="2" t="s">
        <v>20</v>
      </c>
      <c r="I659" s="2" t="s">
        <v>21</v>
      </c>
      <c r="J659" s="2" t="s">
        <v>22</v>
      </c>
      <c r="K659" s="2" t="s">
        <v>115</v>
      </c>
      <c r="L659" s="2" t="s">
        <v>83</v>
      </c>
      <c r="M659" s="2" t="s">
        <v>126</v>
      </c>
      <c r="N659" s="2" t="s">
        <v>37</v>
      </c>
      <c r="O659" s="2" t="s">
        <v>47</v>
      </c>
      <c r="P659" s="2" t="s">
        <v>86</v>
      </c>
      <c r="Q659" s="2" t="s">
        <v>525</v>
      </c>
    </row>
    <row r="660" spans="1:17">
      <c r="A660" s="2" t="s">
        <v>962</v>
      </c>
      <c r="B660" s="2" t="str">
        <f>[1]Sheet1!M660</f>
        <v>男</v>
      </c>
      <c r="C660" s="3" t="str" cm="1">
        <f t="array" ref="C6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60" s="2" t="str">
        <f>MID([1]Sheet1!F660,FIND("(",[1]Sheet1!F660)+1,FIND("-",[1]Sheet1!F660)-FIND("(",[1]Sheet1!F660)-1)</f>
        <v>陕西</v>
      </c>
      <c r="E660" s="2" t="str">
        <f>MID([1]Sheet1!F660,FIND("-",[1]Sheet1!F660)+1,FIND(")",[1]Sheet1!F660)-FIND("-",[1]Sheet1!F660)-1)</f>
        <v>延安</v>
      </c>
      <c r="F660" s="2" t="s">
        <v>42</v>
      </c>
      <c r="G660" s="2" t="s">
        <v>81</v>
      </c>
      <c r="H660" s="2" t="s">
        <v>66</v>
      </c>
      <c r="I660" s="2" t="s">
        <v>51</v>
      </c>
      <c r="J660" s="2" t="s">
        <v>96</v>
      </c>
      <c r="K660" s="2" t="s">
        <v>117</v>
      </c>
      <c r="L660" s="2" t="s">
        <v>24</v>
      </c>
      <c r="M660" s="2" t="s">
        <v>25</v>
      </c>
      <c r="N660" s="2" t="s">
        <v>37</v>
      </c>
      <c r="O660" s="2" t="s">
        <v>47</v>
      </c>
      <c r="P660" s="2" t="s">
        <v>59</v>
      </c>
      <c r="Q660" s="2" t="s">
        <v>259</v>
      </c>
    </row>
    <row r="661" spans="1:17">
      <c r="A661" s="2" t="s">
        <v>963</v>
      </c>
      <c r="B661" s="2" t="str">
        <f>[1]Sheet1!M661</f>
        <v>男</v>
      </c>
      <c r="C661" s="3" t="str" cm="1">
        <f t="array" ref="C6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61" s="2" t="str">
        <f>MID([1]Sheet1!F661,FIND("(",[1]Sheet1!F661)+1,FIND("-",[1]Sheet1!F661)-FIND("(",[1]Sheet1!F661)-1)</f>
        <v>河南</v>
      </c>
      <c r="E661" s="2" t="str">
        <f>MID([1]Sheet1!F661,FIND("-",[1]Sheet1!F661)+1,FIND(")",[1]Sheet1!F661)-FIND("-",[1]Sheet1!F661)-1)</f>
        <v>南阳</v>
      </c>
      <c r="F661" s="2" t="s">
        <v>42</v>
      </c>
      <c r="G661" s="2" t="s">
        <v>114</v>
      </c>
      <c r="H661" s="2" t="s">
        <v>20</v>
      </c>
      <c r="I661" s="2" t="s">
        <v>21</v>
      </c>
      <c r="J661" s="2" t="s">
        <v>82</v>
      </c>
      <c r="K661" s="2" t="s">
        <v>121</v>
      </c>
      <c r="L661" s="2" t="s">
        <v>83</v>
      </c>
      <c r="M661" s="2" t="s">
        <v>36</v>
      </c>
      <c r="N661" s="2" t="s">
        <v>26</v>
      </c>
      <c r="O661" s="2" t="s">
        <v>450</v>
      </c>
      <c r="P661" s="2" t="s">
        <v>175</v>
      </c>
      <c r="Q661" s="2" t="s">
        <v>160</v>
      </c>
    </row>
    <row r="662" spans="1:17">
      <c r="A662" s="2" t="s">
        <v>964</v>
      </c>
      <c r="B662" s="2" t="str">
        <f>[1]Sheet1!M662</f>
        <v>女</v>
      </c>
      <c r="C662" s="3" t="str" cm="1">
        <f t="array" ref="C6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62" s="2" t="str">
        <f>MID([1]Sheet1!F662,FIND("(",[1]Sheet1!F662)+1,FIND("-",[1]Sheet1!F662)-FIND("(",[1]Sheet1!F662)-1)</f>
        <v>河南</v>
      </c>
      <c r="E662" s="2" t="str">
        <f>MID([1]Sheet1!F662,FIND("-",[1]Sheet1!F662)+1,FIND(")",[1]Sheet1!F662)-FIND("-",[1]Sheet1!F662)-1)</f>
        <v>洛阳</v>
      </c>
      <c r="F662" s="2" t="s">
        <v>42</v>
      </c>
      <c r="G662" s="2" t="s">
        <v>50</v>
      </c>
      <c r="H662" s="2" t="s">
        <v>66</v>
      </c>
      <c r="I662" s="2" t="s">
        <v>51</v>
      </c>
      <c r="J662" s="2" t="s">
        <v>96</v>
      </c>
      <c r="K662" s="2" t="s">
        <v>372</v>
      </c>
      <c r="L662" s="2" t="s">
        <v>24</v>
      </c>
      <c r="M662" s="2" t="s">
        <v>36</v>
      </c>
      <c r="N662" s="2" t="s">
        <v>37</v>
      </c>
      <c r="O662" s="2" t="s">
        <v>89</v>
      </c>
      <c r="P662" s="2" t="s">
        <v>175</v>
      </c>
      <c r="Q662" s="2" t="s">
        <v>310</v>
      </c>
    </row>
    <row r="663" spans="1:17">
      <c r="A663" s="2" t="s">
        <v>965</v>
      </c>
      <c r="B663" s="2" t="str">
        <f>[1]Sheet1!M663</f>
        <v>男</v>
      </c>
      <c r="C663" s="3" t="str" cm="1">
        <f t="array" ref="C6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63" s="2" t="str">
        <f>MID([1]Sheet1!F663,FIND("(",[1]Sheet1!F663)+1,FIND("-",[1]Sheet1!F663)-FIND("(",[1]Sheet1!F663)-1)</f>
        <v>河南</v>
      </c>
      <c r="E663" s="2" t="str">
        <f>MID([1]Sheet1!F663,FIND("-",[1]Sheet1!F663)+1,FIND(")",[1]Sheet1!F663)-FIND("-",[1]Sheet1!F663)-1)</f>
        <v>南阳</v>
      </c>
      <c r="F663" s="2" t="s">
        <v>31</v>
      </c>
      <c r="G663" s="2" t="s">
        <v>50</v>
      </c>
      <c r="H663" s="2" t="s">
        <v>20</v>
      </c>
      <c r="I663" s="2" t="s">
        <v>21</v>
      </c>
      <c r="J663" s="2" t="s">
        <v>82</v>
      </c>
      <c r="K663" s="2" t="s">
        <v>212</v>
      </c>
      <c r="L663" s="2" t="s">
        <v>24</v>
      </c>
      <c r="M663" s="2" t="s">
        <v>36</v>
      </c>
      <c r="N663" s="2" t="s">
        <v>37</v>
      </c>
      <c r="O663" s="2" t="s">
        <v>47</v>
      </c>
      <c r="P663" s="2" t="s">
        <v>63</v>
      </c>
      <c r="Q663" s="2" t="s">
        <v>75</v>
      </c>
    </row>
    <row r="664" spans="1:17">
      <c r="A664" s="2" t="s">
        <v>966</v>
      </c>
      <c r="B664" s="2" t="str">
        <f>[1]Sheet1!M664</f>
        <v>男</v>
      </c>
      <c r="C664" s="3" t="str" cm="1">
        <f t="array" ref="C6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64" s="2" t="str">
        <f>MID([1]Sheet1!F664,FIND("(",[1]Sheet1!F664)+1,FIND("-",[1]Sheet1!F664)-FIND("(",[1]Sheet1!F664)-1)</f>
        <v>广东</v>
      </c>
      <c r="E664" s="2" t="str">
        <f>MID([1]Sheet1!F664,FIND("-",[1]Sheet1!F664)+1,FIND(")",[1]Sheet1!F664)-FIND("-",[1]Sheet1!F664)-1)</f>
        <v>江门</v>
      </c>
      <c r="F664" s="2" t="s">
        <v>31</v>
      </c>
      <c r="G664" s="2" t="s">
        <v>50</v>
      </c>
      <c r="H664" s="2" t="s">
        <v>250</v>
      </c>
      <c r="I664" s="2" t="s">
        <v>120</v>
      </c>
      <c r="J664" s="2" t="s">
        <v>56</v>
      </c>
      <c r="K664" s="2" t="s">
        <v>115</v>
      </c>
      <c r="L664" s="2" t="s">
        <v>83</v>
      </c>
      <c r="M664" s="2" t="s">
        <v>25</v>
      </c>
      <c r="N664" s="2" t="s">
        <v>37</v>
      </c>
      <c r="O664" s="2" t="s">
        <v>47</v>
      </c>
      <c r="P664" s="2" t="s">
        <v>28</v>
      </c>
      <c r="Q664" s="2" t="s">
        <v>967</v>
      </c>
    </row>
    <row r="665" spans="1:17">
      <c r="A665" s="2" t="s">
        <v>964</v>
      </c>
      <c r="B665" s="2" t="str">
        <f>[1]Sheet1!M665</f>
        <v>男</v>
      </c>
      <c r="C665" s="3" t="str" cm="1">
        <f t="array" ref="C6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65" s="2" t="str">
        <f>MID([1]Sheet1!F665,FIND("(",[1]Sheet1!F665)+1,FIND("-",[1]Sheet1!F665)-FIND("(",[1]Sheet1!F665)-1)</f>
        <v>河南</v>
      </c>
      <c r="E665" s="2" t="str">
        <f>MID([1]Sheet1!F665,FIND("-",[1]Sheet1!F665)+1,FIND(")",[1]Sheet1!F665)-FIND("-",[1]Sheet1!F665)-1)</f>
        <v>洛阳</v>
      </c>
      <c r="F665" s="2" t="s">
        <v>18</v>
      </c>
      <c r="G665" s="2" t="s">
        <v>50</v>
      </c>
      <c r="H665" s="2" t="s">
        <v>66</v>
      </c>
      <c r="I665" s="2" t="s">
        <v>51</v>
      </c>
      <c r="J665" s="2" t="s">
        <v>96</v>
      </c>
      <c r="K665" s="2" t="s">
        <v>121</v>
      </c>
      <c r="L665" s="2" t="s">
        <v>24</v>
      </c>
      <c r="M665" s="2" t="s">
        <v>360</v>
      </c>
      <c r="N665" s="2" t="s">
        <v>26</v>
      </c>
      <c r="O665" s="2" t="s">
        <v>235</v>
      </c>
      <c r="P665" s="2" t="s">
        <v>175</v>
      </c>
      <c r="Q665" s="2" t="s">
        <v>968</v>
      </c>
    </row>
    <row r="666" spans="1:17">
      <c r="A666" s="2" t="s">
        <v>404</v>
      </c>
      <c r="B666" s="2" t="str">
        <f>[1]Sheet1!M666</f>
        <v>男</v>
      </c>
      <c r="C666" s="3" t="str" cm="1">
        <f t="array" ref="C6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66" s="2" t="str">
        <f>MID([1]Sheet1!F666,FIND("(",[1]Sheet1!F666)+1,FIND("-",[1]Sheet1!F666)-FIND("(",[1]Sheet1!F666)-1)</f>
        <v>湖南</v>
      </c>
      <c r="E666" s="2" t="str">
        <f>MID([1]Sheet1!F666,FIND("-",[1]Sheet1!F666)+1,FIND(")",[1]Sheet1!F666)-FIND("-",[1]Sheet1!F666)-1)</f>
        <v>长沙</v>
      </c>
      <c r="F666" s="2" t="s">
        <v>42</v>
      </c>
      <c r="G666" s="2" t="s">
        <v>50</v>
      </c>
      <c r="H666" s="2" t="s">
        <v>55</v>
      </c>
      <c r="I666" s="2" t="s">
        <v>51</v>
      </c>
      <c r="J666" s="2" t="s">
        <v>77</v>
      </c>
      <c r="K666" s="2" t="s">
        <v>121</v>
      </c>
      <c r="L666" s="2" t="s">
        <v>24</v>
      </c>
      <c r="M666" s="2" t="s">
        <v>36</v>
      </c>
      <c r="N666" s="2" t="s">
        <v>37</v>
      </c>
      <c r="O666" s="2" t="s">
        <v>450</v>
      </c>
      <c r="P666" s="2" t="s">
        <v>59</v>
      </c>
      <c r="Q666" s="2" t="s">
        <v>172</v>
      </c>
    </row>
    <row r="667" spans="1:17">
      <c r="A667" s="2" t="s">
        <v>969</v>
      </c>
      <c r="B667" s="2" t="str">
        <f>[1]Sheet1!M667</f>
        <v>男</v>
      </c>
      <c r="C667" s="3" t="str" cm="1">
        <f t="array" ref="C6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667" s="2" t="str">
        <f>MID([1]Sheet1!F667,FIND("(",[1]Sheet1!F667)+1,FIND("-",[1]Sheet1!F667)-FIND("(",[1]Sheet1!F667)-1)</f>
        <v>福建</v>
      </c>
      <c r="E667" s="2" t="str">
        <f>MID([1]Sheet1!F667,FIND("-",[1]Sheet1!F667)+1,FIND(")",[1]Sheet1!F667)-FIND("-",[1]Sheet1!F667)-1)</f>
        <v>莆田</v>
      </c>
      <c r="F667" s="2" t="s">
        <v>42</v>
      </c>
      <c r="G667" s="2" t="s">
        <v>50</v>
      </c>
      <c r="H667" s="2" t="s">
        <v>33</v>
      </c>
      <c r="I667" s="2" t="s">
        <v>21</v>
      </c>
      <c r="J667" s="2" t="s">
        <v>82</v>
      </c>
      <c r="K667" s="2" t="s">
        <v>121</v>
      </c>
      <c r="L667" s="2" t="s">
        <v>83</v>
      </c>
      <c r="M667" s="2" t="s">
        <v>111</v>
      </c>
      <c r="N667" s="2" t="s">
        <v>37</v>
      </c>
      <c r="O667" s="2" t="s">
        <v>398</v>
      </c>
      <c r="P667" s="2" t="s">
        <v>175</v>
      </c>
      <c r="Q667" s="2" t="s">
        <v>48</v>
      </c>
    </row>
    <row r="668" spans="1:17">
      <c r="A668" s="2" t="s">
        <v>970</v>
      </c>
      <c r="B668" s="2" t="str">
        <f>[1]Sheet1!M668</f>
        <v>男</v>
      </c>
      <c r="C668" s="3" t="str" cm="1">
        <f t="array" ref="C6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668" s="2" t="str">
        <f>MID([1]Sheet1!F668,FIND("(",[1]Sheet1!F668)+1,FIND("-",[1]Sheet1!F668)-FIND("(",[1]Sheet1!F668)-1)</f>
        <v>四川</v>
      </c>
      <c r="E668" s="2" t="str">
        <f>MID([1]Sheet1!F668,FIND("-",[1]Sheet1!F668)+1,FIND(")",[1]Sheet1!F668)-FIND("-",[1]Sheet1!F668)-1)</f>
        <v>成都</v>
      </c>
      <c r="F668" s="2" t="s">
        <v>42</v>
      </c>
      <c r="G668" s="2" t="s">
        <v>81</v>
      </c>
      <c r="H668" s="2" t="s">
        <v>66</v>
      </c>
      <c r="I668" s="2" t="s">
        <v>73</v>
      </c>
      <c r="J668" s="2" t="s">
        <v>35</v>
      </c>
      <c r="K668" s="2" t="s">
        <v>169</v>
      </c>
      <c r="L668" s="2" t="s">
        <v>83</v>
      </c>
      <c r="M668" s="2" t="s">
        <v>143</v>
      </c>
      <c r="N668" s="2" t="s">
        <v>37</v>
      </c>
      <c r="O668" s="2" t="s">
        <v>47</v>
      </c>
      <c r="P668" s="2" t="s">
        <v>39</v>
      </c>
      <c r="Q668" s="2" t="s">
        <v>971</v>
      </c>
    </row>
    <row r="669" spans="1:17">
      <c r="A669" s="2" t="s">
        <v>972</v>
      </c>
      <c r="B669" s="2" t="str">
        <f>[1]Sheet1!M669</f>
        <v>男</v>
      </c>
      <c r="C669" s="3" t="str" cm="1">
        <f t="array" ref="C6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69" s="2" t="str">
        <f>MID([1]Sheet1!F669,FIND("(",[1]Sheet1!F669)+1,FIND("-",[1]Sheet1!F669)-FIND("(",[1]Sheet1!F669)-1)</f>
        <v>山东</v>
      </c>
      <c r="E669" s="2" t="str">
        <f>MID([1]Sheet1!F669,FIND("-",[1]Sheet1!F669)+1,FIND(")",[1]Sheet1!F669)-FIND("-",[1]Sheet1!F669)-1)</f>
        <v>济南</v>
      </c>
      <c r="F669" s="2" t="s">
        <v>31</v>
      </c>
      <c r="G669" s="2" t="s">
        <v>81</v>
      </c>
      <c r="H669" s="2" t="s">
        <v>66</v>
      </c>
      <c r="I669" s="2" t="s">
        <v>211</v>
      </c>
      <c r="J669" s="2" t="s">
        <v>56</v>
      </c>
      <c r="K669" s="2" t="s">
        <v>115</v>
      </c>
      <c r="L669" s="2" t="s">
        <v>24</v>
      </c>
      <c r="M669" s="2" t="s">
        <v>36</v>
      </c>
      <c r="N669" s="2" t="s">
        <v>37</v>
      </c>
      <c r="O669" s="2" t="s">
        <v>89</v>
      </c>
      <c r="P669" s="2" t="s">
        <v>39</v>
      </c>
      <c r="Q669" s="2" t="s">
        <v>98</v>
      </c>
    </row>
    <row r="670" spans="1:17">
      <c r="A670" s="2" t="s">
        <v>973</v>
      </c>
      <c r="B670" s="2" t="str">
        <f>[1]Sheet1!M670</f>
        <v>女</v>
      </c>
      <c r="C670" s="3" t="str" cm="1">
        <f t="array" ref="C6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70" s="2" t="str">
        <f>MID([1]Sheet1!F670,FIND("(",[1]Sheet1!F670)+1,FIND("-",[1]Sheet1!F670)-FIND("(",[1]Sheet1!F670)-1)</f>
        <v>山东</v>
      </c>
      <c r="E670" s="2" t="str">
        <f>MID([1]Sheet1!F670,FIND("-",[1]Sheet1!F670)+1,FIND(")",[1]Sheet1!F670)-FIND("-",[1]Sheet1!F670)-1)</f>
        <v>临沂</v>
      </c>
      <c r="F670" s="2" t="s">
        <v>70</v>
      </c>
      <c r="G670" s="2" t="s">
        <v>32</v>
      </c>
      <c r="H670" s="2" t="s">
        <v>20</v>
      </c>
      <c r="I670" s="2" t="s">
        <v>51</v>
      </c>
      <c r="J670" s="2" t="s">
        <v>82</v>
      </c>
      <c r="K670" s="2" t="s">
        <v>385</v>
      </c>
      <c r="L670" s="2" t="s">
        <v>24</v>
      </c>
      <c r="M670" s="2" t="s">
        <v>36</v>
      </c>
      <c r="N670" s="2" t="s">
        <v>37</v>
      </c>
      <c r="O670" s="2" t="s">
        <v>47</v>
      </c>
      <c r="P670" s="2" t="s">
        <v>86</v>
      </c>
      <c r="Q670" s="2" t="s">
        <v>150</v>
      </c>
    </row>
    <row r="671" spans="1:17">
      <c r="A671" s="2" t="s">
        <v>285</v>
      </c>
      <c r="B671" s="2" t="str">
        <f>[1]Sheet1!M671</f>
        <v>女</v>
      </c>
      <c r="C671" s="3" t="str" cm="1">
        <f t="array" ref="C6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71" s="2" t="str">
        <f>MID([1]Sheet1!F671,FIND("(",[1]Sheet1!F671)+1,FIND("-",[1]Sheet1!F671)-FIND("(",[1]Sheet1!F671)-1)</f>
        <v>山东</v>
      </c>
      <c r="E671" s="2" t="str">
        <f>MID([1]Sheet1!F671,FIND("-",[1]Sheet1!F671)+1,FIND(")",[1]Sheet1!F671)-FIND("-",[1]Sheet1!F671)-1)</f>
        <v>济南</v>
      </c>
      <c r="F671" s="2" t="s">
        <v>42</v>
      </c>
      <c r="G671" s="2" t="s">
        <v>50</v>
      </c>
      <c r="H671" s="2" t="s">
        <v>20</v>
      </c>
      <c r="I671" s="2" t="s">
        <v>21</v>
      </c>
      <c r="J671" s="2" t="s">
        <v>77</v>
      </c>
      <c r="K671" s="2" t="s">
        <v>130</v>
      </c>
      <c r="L671" s="2" t="s">
        <v>24</v>
      </c>
      <c r="M671" s="2" t="s">
        <v>78</v>
      </c>
      <c r="N671" s="2" t="s">
        <v>26</v>
      </c>
      <c r="O671" s="2" t="s">
        <v>58</v>
      </c>
      <c r="P671" s="2" t="s">
        <v>179</v>
      </c>
      <c r="Q671" s="2" t="s">
        <v>172</v>
      </c>
    </row>
    <row r="672" spans="1:17">
      <c r="A672" s="2" t="s">
        <v>974</v>
      </c>
      <c r="B672" s="2" t="str">
        <f>[1]Sheet1!M672</f>
        <v>女</v>
      </c>
      <c r="C672" s="3" t="str" cm="1">
        <f t="array" ref="C6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72" s="2" t="str">
        <f>MID([1]Sheet1!F672,FIND("(",[1]Sheet1!F672)+1,FIND("-",[1]Sheet1!F672)-FIND("(",[1]Sheet1!F672)-1)</f>
        <v>山东</v>
      </c>
      <c r="E672" s="2" t="str">
        <f>MID([1]Sheet1!F672,FIND("-",[1]Sheet1!F672)+1,FIND(")",[1]Sheet1!F672)-FIND("-",[1]Sheet1!F672)-1)</f>
        <v>济南</v>
      </c>
      <c r="F672" s="2" t="s">
        <v>42</v>
      </c>
      <c r="G672" s="2" t="s">
        <v>19</v>
      </c>
      <c r="H672" s="2" t="s">
        <v>33</v>
      </c>
      <c r="I672" s="2" t="s">
        <v>21</v>
      </c>
      <c r="J672" s="2" t="s">
        <v>44</v>
      </c>
      <c r="K672" s="2" t="s">
        <v>117</v>
      </c>
      <c r="L672" s="2" t="s">
        <v>83</v>
      </c>
      <c r="M672" s="2" t="s">
        <v>111</v>
      </c>
      <c r="N672" s="2" t="s">
        <v>37</v>
      </c>
      <c r="O672" s="2" t="s">
        <v>47</v>
      </c>
      <c r="P672" s="2" t="s">
        <v>39</v>
      </c>
      <c r="Q672" s="2" t="s">
        <v>123</v>
      </c>
    </row>
    <row r="673" spans="1:17">
      <c r="A673" s="2" t="s">
        <v>975</v>
      </c>
      <c r="B673" s="2" t="str">
        <f>[1]Sheet1!M673</f>
        <v>男</v>
      </c>
      <c r="C673" s="3" t="str" cm="1">
        <f t="array" ref="C6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73" s="2" t="str">
        <f>MID([1]Sheet1!F673,FIND("(",[1]Sheet1!F673)+1,FIND("-",[1]Sheet1!F673)-FIND("(",[1]Sheet1!F673)-1)</f>
        <v>广东</v>
      </c>
      <c r="E673" s="2" t="str">
        <f>MID([1]Sheet1!F673,FIND("-",[1]Sheet1!F673)+1,FIND(")",[1]Sheet1!F673)-FIND("-",[1]Sheet1!F673)-1)</f>
        <v>广州</v>
      </c>
      <c r="F673" s="2" t="s">
        <v>42</v>
      </c>
      <c r="G673" s="2" t="s">
        <v>50</v>
      </c>
      <c r="H673" s="2" t="s">
        <v>66</v>
      </c>
      <c r="I673" s="2" t="s">
        <v>120</v>
      </c>
      <c r="J673" s="2" t="s">
        <v>35</v>
      </c>
      <c r="K673" s="2" t="s">
        <v>537</v>
      </c>
      <c r="L673" s="2" t="s">
        <v>24</v>
      </c>
      <c r="M673" s="2" t="s">
        <v>78</v>
      </c>
      <c r="N673" s="2" t="s">
        <v>37</v>
      </c>
      <c r="O673" s="2" t="s">
        <v>47</v>
      </c>
      <c r="P673" s="2" t="s">
        <v>63</v>
      </c>
      <c r="Q673" s="2" t="s">
        <v>261</v>
      </c>
    </row>
    <row r="674" spans="1:17">
      <c r="A674" s="2" t="s">
        <v>558</v>
      </c>
      <c r="B674" s="2" t="str">
        <f>[1]Sheet1!M674</f>
        <v>男</v>
      </c>
      <c r="C674" s="3" t="str" cm="1">
        <f t="array" ref="C6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74" s="2" t="str">
        <f>MID([1]Sheet1!F674,FIND("(",[1]Sheet1!F674)+1,FIND("-",[1]Sheet1!F674)-FIND("(",[1]Sheet1!F674)-1)</f>
        <v>广东</v>
      </c>
      <c r="E674" s="2" t="str">
        <f>MID([1]Sheet1!F674,FIND("-",[1]Sheet1!F674)+1,FIND(")",[1]Sheet1!F674)-FIND("-",[1]Sheet1!F674)-1)</f>
        <v>惠州</v>
      </c>
      <c r="F674" s="2" t="s">
        <v>31</v>
      </c>
      <c r="G674" s="2" t="s">
        <v>50</v>
      </c>
      <c r="H674" s="2" t="s">
        <v>66</v>
      </c>
      <c r="I674" s="2" t="s">
        <v>43</v>
      </c>
      <c r="J674" s="2" t="s">
        <v>82</v>
      </c>
      <c r="K674" s="2" t="s">
        <v>117</v>
      </c>
      <c r="L674" s="2" t="s">
        <v>24</v>
      </c>
      <c r="M674" s="2" t="s">
        <v>36</v>
      </c>
      <c r="N674" s="2" t="s">
        <v>26</v>
      </c>
      <c r="O674" s="2" t="s">
        <v>450</v>
      </c>
      <c r="P674" s="2" t="s">
        <v>63</v>
      </c>
      <c r="Q674" s="2" t="s">
        <v>172</v>
      </c>
    </row>
    <row r="675" spans="1:17">
      <c r="A675" s="2" t="s">
        <v>976</v>
      </c>
      <c r="B675" s="2" t="str">
        <f>[1]Sheet1!M675</f>
        <v>男</v>
      </c>
      <c r="C675" s="3" t="str" cm="1">
        <f t="array" ref="C6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75" s="2" t="str">
        <f>MID([1]Sheet1!F675,FIND("(",[1]Sheet1!F675)+1,FIND("-",[1]Sheet1!F675)-FIND("(",[1]Sheet1!F675)-1)</f>
        <v>湖南</v>
      </c>
      <c r="E675" s="2" t="str">
        <f>MID([1]Sheet1!F675,FIND("-",[1]Sheet1!F675)+1,FIND(")",[1]Sheet1!F675)-FIND("-",[1]Sheet1!F675)-1)</f>
        <v>长沙</v>
      </c>
      <c r="F675" s="2" t="s">
        <v>18</v>
      </c>
      <c r="G675" s="2" t="s">
        <v>50</v>
      </c>
      <c r="H675" s="2" t="s">
        <v>55</v>
      </c>
      <c r="I675" s="2" t="s">
        <v>43</v>
      </c>
      <c r="J675" s="2" t="s">
        <v>56</v>
      </c>
      <c r="K675" s="2" t="s">
        <v>115</v>
      </c>
      <c r="L675" s="2" t="s">
        <v>24</v>
      </c>
      <c r="M675" s="2" t="s">
        <v>25</v>
      </c>
      <c r="N675" s="2" t="s">
        <v>37</v>
      </c>
      <c r="O675" s="2" t="s">
        <v>47</v>
      </c>
      <c r="P675" s="2" t="s">
        <v>28</v>
      </c>
      <c r="Q675" s="2" t="s">
        <v>40</v>
      </c>
    </row>
    <row r="676" spans="1:17">
      <c r="A676" s="2" t="s">
        <v>977</v>
      </c>
      <c r="B676" s="2" t="str">
        <f>[1]Sheet1!M676</f>
        <v>男</v>
      </c>
      <c r="C676" s="3" t="str" cm="1">
        <f t="array" ref="C6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76" s="2" t="str">
        <f>MID([1]Sheet1!F676,FIND("(",[1]Sheet1!F676)+1,FIND("-",[1]Sheet1!F676)-FIND("(",[1]Sheet1!F676)-1)</f>
        <v>河南</v>
      </c>
      <c r="E676" s="2" t="str">
        <f>MID([1]Sheet1!F676,FIND("-",[1]Sheet1!F676)+1,FIND(")",[1]Sheet1!F676)-FIND("-",[1]Sheet1!F676)-1)</f>
        <v>郑州</v>
      </c>
      <c r="F676" s="2" t="s">
        <v>42</v>
      </c>
      <c r="G676" s="2" t="s">
        <v>19</v>
      </c>
      <c r="H676" s="2" t="s">
        <v>20</v>
      </c>
      <c r="I676" s="2" t="s">
        <v>21</v>
      </c>
      <c r="J676" s="2" t="s">
        <v>82</v>
      </c>
      <c r="K676" s="2" t="s">
        <v>130</v>
      </c>
      <c r="L676" s="2" t="s">
        <v>83</v>
      </c>
      <c r="M676" s="2" t="s">
        <v>36</v>
      </c>
      <c r="N676" s="2" t="s">
        <v>46</v>
      </c>
      <c r="O676" s="2" t="s">
        <v>573</v>
      </c>
      <c r="P676" s="2" t="s">
        <v>59</v>
      </c>
      <c r="Q676" s="2" t="s">
        <v>48</v>
      </c>
    </row>
    <row r="677" spans="1:17">
      <c r="A677" s="2" t="s">
        <v>978</v>
      </c>
      <c r="B677" s="2" t="str">
        <f>[1]Sheet1!M677</f>
        <v>男</v>
      </c>
      <c r="C677" s="3" t="str" cm="1">
        <f t="array" ref="C6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77" s="2" t="str">
        <f>MID([1]Sheet1!F677,FIND("(",[1]Sheet1!F677)+1,FIND("-",[1]Sheet1!F677)-FIND("(",[1]Sheet1!F677)-1)</f>
        <v>安徽</v>
      </c>
      <c r="E677" s="2" t="str">
        <f>MID([1]Sheet1!F677,FIND("-",[1]Sheet1!F677)+1,FIND(")",[1]Sheet1!F677)-FIND("-",[1]Sheet1!F677)-1)</f>
        <v>阜阳</v>
      </c>
      <c r="F677" s="2" t="s">
        <v>159</v>
      </c>
      <c r="G677" s="2" t="s">
        <v>50</v>
      </c>
      <c r="H677" s="2" t="s">
        <v>33</v>
      </c>
      <c r="I677" s="2" t="s">
        <v>21</v>
      </c>
      <c r="J677" s="2" t="s">
        <v>77</v>
      </c>
      <c r="K677" s="2" t="s">
        <v>137</v>
      </c>
      <c r="L677" s="2" t="s">
        <v>24</v>
      </c>
      <c r="M677" s="2" t="s">
        <v>67</v>
      </c>
      <c r="N677" s="2" t="s">
        <v>46</v>
      </c>
      <c r="O677" s="2" t="s">
        <v>47</v>
      </c>
      <c r="P677" s="2" t="s">
        <v>39</v>
      </c>
      <c r="Q677" s="2" t="s">
        <v>731</v>
      </c>
    </row>
    <row r="678" spans="1:17">
      <c r="A678" s="2" t="s">
        <v>979</v>
      </c>
      <c r="B678" s="2" t="str">
        <f>[1]Sheet1!M678</f>
        <v>男</v>
      </c>
      <c r="C678" s="3" t="str" cm="1">
        <f t="array" ref="C6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78" s="2" t="str">
        <f>MID([1]Sheet1!F678,FIND("(",[1]Sheet1!F678)+1,FIND("-",[1]Sheet1!F678)-FIND("(",[1]Sheet1!F678)-1)</f>
        <v>广东</v>
      </c>
      <c r="E678" s="2" t="str">
        <f>MID([1]Sheet1!F678,FIND("-",[1]Sheet1!F678)+1,FIND(")",[1]Sheet1!F678)-FIND("-",[1]Sheet1!F678)-1)</f>
        <v>深圳</v>
      </c>
      <c r="F678" s="2" t="s">
        <v>18</v>
      </c>
      <c r="G678" s="2" t="s">
        <v>81</v>
      </c>
      <c r="H678" s="2" t="s">
        <v>66</v>
      </c>
      <c r="I678" s="2" t="s">
        <v>43</v>
      </c>
      <c r="J678" s="2" t="s">
        <v>82</v>
      </c>
      <c r="K678" s="2" t="s">
        <v>117</v>
      </c>
      <c r="L678" s="2" t="s">
        <v>24</v>
      </c>
      <c r="M678" s="2" t="s">
        <v>52</v>
      </c>
      <c r="N678" s="2" t="s">
        <v>26</v>
      </c>
      <c r="O678" s="2" t="s">
        <v>58</v>
      </c>
      <c r="P678" s="2" t="s">
        <v>63</v>
      </c>
      <c r="Q678" s="2" t="s">
        <v>968</v>
      </c>
    </row>
    <row r="679" spans="1:17">
      <c r="A679" s="2" t="s">
        <v>980</v>
      </c>
      <c r="B679" s="2" t="str">
        <f>[1]Sheet1!M679</f>
        <v>男</v>
      </c>
      <c r="C679" s="3" t="str" cm="1">
        <f t="array" ref="C6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79" s="2" t="str">
        <f>MID([1]Sheet1!F679,FIND("(",[1]Sheet1!F679)+1,FIND("-",[1]Sheet1!F679)-FIND("(",[1]Sheet1!F679)-1)</f>
        <v>陕西</v>
      </c>
      <c r="E679" s="2" t="str">
        <f>MID([1]Sheet1!F679,FIND("-",[1]Sheet1!F679)+1,FIND(")",[1]Sheet1!F679)-FIND("-",[1]Sheet1!F679)-1)</f>
        <v>西安</v>
      </c>
      <c r="F679" s="2" t="s">
        <v>18</v>
      </c>
      <c r="G679" s="2" t="s">
        <v>50</v>
      </c>
      <c r="H679" s="2" t="s">
        <v>20</v>
      </c>
      <c r="I679" s="2" t="s">
        <v>51</v>
      </c>
      <c r="J679" s="2" t="s">
        <v>96</v>
      </c>
      <c r="K679" s="2" t="s">
        <v>117</v>
      </c>
      <c r="L679" s="2" t="s">
        <v>24</v>
      </c>
      <c r="M679" s="2" t="s">
        <v>78</v>
      </c>
      <c r="N679" s="2" t="s">
        <v>46</v>
      </c>
      <c r="O679" s="2" t="s">
        <v>47</v>
      </c>
      <c r="P679" s="2" t="s">
        <v>63</v>
      </c>
      <c r="Q679" s="2" t="s">
        <v>160</v>
      </c>
    </row>
    <row r="680" spans="1:17">
      <c r="A680" s="2" t="s">
        <v>981</v>
      </c>
      <c r="B680" s="2" t="str">
        <f>[1]Sheet1!M680</f>
        <v>男</v>
      </c>
      <c r="C680" s="3" t="str" cm="1">
        <f t="array" ref="C6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0" s="2" t="str">
        <f>MID([1]Sheet1!F680,FIND("(",[1]Sheet1!F680)+1,FIND("-",[1]Sheet1!F680)-FIND("(",[1]Sheet1!F680)-1)</f>
        <v>广东</v>
      </c>
      <c r="E680" s="2" t="str">
        <f>MID([1]Sheet1!F680,FIND("-",[1]Sheet1!F680)+1,FIND(")",[1]Sheet1!F680)-FIND("-",[1]Sheet1!F680)-1)</f>
        <v>广州</v>
      </c>
      <c r="F680" s="2" t="s">
        <v>31</v>
      </c>
      <c r="G680" s="2" t="s">
        <v>81</v>
      </c>
      <c r="H680" s="2" t="s">
        <v>20</v>
      </c>
      <c r="I680" s="2" t="s">
        <v>51</v>
      </c>
      <c r="J680" s="2" t="s">
        <v>96</v>
      </c>
      <c r="K680" s="2" t="s">
        <v>982</v>
      </c>
      <c r="L680" s="2" t="s">
        <v>24</v>
      </c>
      <c r="M680" s="2" t="s">
        <v>36</v>
      </c>
      <c r="N680" s="2" t="s">
        <v>37</v>
      </c>
      <c r="O680" s="2" t="s">
        <v>58</v>
      </c>
      <c r="P680" s="2" t="s">
        <v>39</v>
      </c>
      <c r="Q680" s="2" t="s">
        <v>48</v>
      </c>
    </row>
    <row r="681" spans="1:17">
      <c r="A681" s="2" t="s">
        <v>983</v>
      </c>
      <c r="B681" s="2" t="str">
        <f>[1]Sheet1!M681</f>
        <v>男</v>
      </c>
      <c r="C681" s="3" t="str" cm="1">
        <f t="array" ref="C6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81" s="2" t="str">
        <f>MID([1]Sheet1!F681,FIND("(",[1]Sheet1!F681)+1,FIND("-",[1]Sheet1!F681)-FIND("(",[1]Sheet1!F681)-1)</f>
        <v>山东</v>
      </c>
      <c r="E681" s="2" t="str">
        <f>MID([1]Sheet1!F681,FIND("-",[1]Sheet1!F681)+1,FIND(")",[1]Sheet1!F681)-FIND("-",[1]Sheet1!F681)-1)</f>
        <v>临沂</v>
      </c>
      <c r="F681" s="2" t="s">
        <v>42</v>
      </c>
      <c r="G681" s="2" t="s">
        <v>19</v>
      </c>
      <c r="H681" s="2" t="s">
        <v>33</v>
      </c>
      <c r="I681" s="2" t="s">
        <v>51</v>
      </c>
      <c r="J681" s="2" t="s">
        <v>77</v>
      </c>
      <c r="K681" s="2" t="s">
        <v>217</v>
      </c>
      <c r="L681" s="2" t="s">
        <v>24</v>
      </c>
      <c r="M681" s="2" t="s">
        <v>36</v>
      </c>
      <c r="N681" s="2" t="s">
        <v>37</v>
      </c>
      <c r="O681" s="2" t="s">
        <v>58</v>
      </c>
      <c r="P681" s="2" t="s">
        <v>86</v>
      </c>
      <c r="Q681" s="2" t="s">
        <v>40</v>
      </c>
    </row>
    <row r="682" spans="1:17">
      <c r="A682" s="2" t="s">
        <v>984</v>
      </c>
      <c r="B682" s="2" t="str">
        <f>[1]Sheet1!M682</f>
        <v>女</v>
      </c>
      <c r="C682" s="3" t="str" cm="1">
        <f t="array" ref="C6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2" s="2" t="str">
        <f>MID([1]Sheet1!F682,FIND("(",[1]Sheet1!F682)+1,FIND("-",[1]Sheet1!F682)-FIND("(",[1]Sheet1!F682)-1)</f>
        <v>广东</v>
      </c>
      <c r="E682" s="2" t="str">
        <f>MID([1]Sheet1!F682,FIND("-",[1]Sheet1!F682)+1,FIND(")",[1]Sheet1!F682)-FIND("-",[1]Sheet1!F682)-1)</f>
        <v>广州</v>
      </c>
      <c r="F682" s="2" t="s">
        <v>42</v>
      </c>
      <c r="G682" s="2" t="s">
        <v>32</v>
      </c>
      <c r="H682" s="2" t="s">
        <v>66</v>
      </c>
      <c r="I682" s="2" t="s">
        <v>120</v>
      </c>
      <c r="J682" s="2" t="s">
        <v>82</v>
      </c>
      <c r="K682" s="2" t="s">
        <v>115</v>
      </c>
      <c r="L682" s="2" t="s">
        <v>24</v>
      </c>
      <c r="M682" s="2" t="s">
        <v>36</v>
      </c>
      <c r="N682" s="2" t="s">
        <v>37</v>
      </c>
      <c r="O682" s="2" t="s">
        <v>47</v>
      </c>
      <c r="P682" s="2" t="s">
        <v>28</v>
      </c>
      <c r="Q682" s="2" t="s">
        <v>400</v>
      </c>
    </row>
    <row r="683" spans="1:17">
      <c r="A683" s="2" t="s">
        <v>985</v>
      </c>
      <c r="B683" s="2" t="str">
        <f>[1]Sheet1!M683</f>
        <v>女</v>
      </c>
      <c r="C683" s="3" t="str" cm="1">
        <f t="array" ref="C6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83" s="2" t="str">
        <f>MID([1]Sheet1!F683,FIND("(",[1]Sheet1!F683)+1,FIND("-",[1]Sheet1!F683)-FIND("(",[1]Sheet1!F683)-1)</f>
        <v>山东</v>
      </c>
      <c r="E683" s="2" t="str">
        <f>MID([1]Sheet1!F683,FIND("-",[1]Sheet1!F683)+1,FIND(")",[1]Sheet1!F683)-FIND("-",[1]Sheet1!F683)-1)</f>
        <v>泰安</v>
      </c>
      <c r="F683" s="2" t="s">
        <v>70</v>
      </c>
      <c r="G683" s="2" t="s">
        <v>19</v>
      </c>
      <c r="H683" s="2" t="s">
        <v>66</v>
      </c>
      <c r="I683" s="2" t="s">
        <v>21</v>
      </c>
      <c r="J683" s="2" t="s">
        <v>82</v>
      </c>
      <c r="K683" s="2" t="s">
        <v>117</v>
      </c>
      <c r="L683" s="2" t="s">
        <v>83</v>
      </c>
      <c r="M683" s="2" t="s">
        <v>143</v>
      </c>
      <c r="N683" s="2" t="s">
        <v>37</v>
      </c>
      <c r="O683" s="2" t="s">
        <v>187</v>
      </c>
      <c r="P683" s="2" t="s">
        <v>28</v>
      </c>
      <c r="Q683" s="2" t="s">
        <v>48</v>
      </c>
    </row>
    <row r="684" spans="1:17">
      <c r="A684" s="2" t="s">
        <v>986</v>
      </c>
      <c r="B684" s="2" t="str">
        <f>[1]Sheet1!M684</f>
        <v>女</v>
      </c>
      <c r="C684" s="3" t="str" cm="1">
        <f t="array" ref="C6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4" s="2" t="str">
        <f>MID([1]Sheet1!F684,FIND("(",[1]Sheet1!F684)+1,FIND("-",[1]Sheet1!F684)-FIND("(",[1]Sheet1!F684)-1)</f>
        <v>广东</v>
      </c>
      <c r="E684" s="2" t="str">
        <f>MID([1]Sheet1!F684,FIND("-",[1]Sheet1!F684)+1,FIND(")",[1]Sheet1!F684)-FIND("-",[1]Sheet1!F684)-1)</f>
        <v>佛山</v>
      </c>
      <c r="F684" s="2" t="s">
        <v>18</v>
      </c>
      <c r="G684" s="2" t="s">
        <v>32</v>
      </c>
      <c r="H684" s="2" t="s">
        <v>66</v>
      </c>
      <c r="I684" s="2" t="s">
        <v>43</v>
      </c>
      <c r="J684" s="2" t="s">
        <v>22</v>
      </c>
      <c r="K684" s="2" t="s">
        <v>115</v>
      </c>
      <c r="L684" s="2" t="s">
        <v>24</v>
      </c>
      <c r="M684" s="2" t="s">
        <v>36</v>
      </c>
      <c r="N684" s="2" t="s">
        <v>37</v>
      </c>
      <c r="O684" s="2" t="s">
        <v>47</v>
      </c>
      <c r="P684" s="2" t="s">
        <v>86</v>
      </c>
      <c r="Q684" s="2" t="s">
        <v>206</v>
      </c>
    </row>
    <row r="685" spans="1:17">
      <c r="A685" s="2" t="s">
        <v>987</v>
      </c>
      <c r="B685" s="2" t="str">
        <f>[1]Sheet1!M685</f>
        <v>男</v>
      </c>
      <c r="C685" s="3" t="str" cm="1">
        <f t="array" ref="C6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85" s="2" t="str">
        <f>MID([1]Sheet1!F685,FIND("(",[1]Sheet1!F685)+1,FIND("-",[1]Sheet1!F685)-FIND("(",[1]Sheet1!F685)-1)</f>
        <v>陕西</v>
      </c>
      <c r="E685" s="2" t="str">
        <f>MID([1]Sheet1!F685,FIND("-",[1]Sheet1!F685)+1,FIND(")",[1]Sheet1!F685)-FIND("-",[1]Sheet1!F685)-1)</f>
        <v>西安</v>
      </c>
      <c r="F685" s="2" t="s">
        <v>159</v>
      </c>
      <c r="G685" s="2" t="s">
        <v>50</v>
      </c>
      <c r="H685" s="2" t="s">
        <v>66</v>
      </c>
      <c r="I685" s="2" t="s">
        <v>43</v>
      </c>
      <c r="J685" s="2" t="s">
        <v>82</v>
      </c>
      <c r="K685" s="2" t="s">
        <v>169</v>
      </c>
      <c r="L685" s="2" t="s">
        <v>24</v>
      </c>
      <c r="M685" s="2" t="s">
        <v>36</v>
      </c>
      <c r="N685" s="2" t="s">
        <v>37</v>
      </c>
      <c r="O685" s="2" t="s">
        <v>27</v>
      </c>
      <c r="P685" s="2" t="s">
        <v>179</v>
      </c>
      <c r="Q685" s="2" t="s">
        <v>269</v>
      </c>
    </row>
    <row r="686" spans="1:17">
      <c r="A686" s="2" t="s">
        <v>523</v>
      </c>
      <c r="B686" s="2" t="str">
        <f>[1]Sheet1!M686</f>
        <v>女</v>
      </c>
      <c r="C686" s="3" t="str" cm="1">
        <f t="array" ref="C6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86" s="2" t="str">
        <f>MID([1]Sheet1!F686,FIND("(",[1]Sheet1!F686)+1,FIND("-",[1]Sheet1!F686)-FIND("(",[1]Sheet1!F686)-1)</f>
        <v>河南</v>
      </c>
      <c r="E686" s="2" t="str">
        <f>MID([1]Sheet1!F686,FIND("-",[1]Sheet1!F686)+1,FIND(")",[1]Sheet1!F686)-FIND("-",[1]Sheet1!F686)-1)</f>
        <v>郑州</v>
      </c>
      <c r="F686" s="2" t="s">
        <v>42</v>
      </c>
      <c r="G686" s="2" t="s">
        <v>50</v>
      </c>
      <c r="H686" s="2" t="s">
        <v>66</v>
      </c>
      <c r="I686" s="2" t="s">
        <v>34</v>
      </c>
      <c r="J686" s="2" t="s">
        <v>22</v>
      </c>
      <c r="K686" s="2" t="s">
        <v>117</v>
      </c>
      <c r="L686" s="2" t="s">
        <v>24</v>
      </c>
      <c r="M686" s="2" t="s">
        <v>78</v>
      </c>
      <c r="N686" s="2" t="s">
        <v>37</v>
      </c>
      <c r="O686" s="2" t="s">
        <v>74</v>
      </c>
      <c r="P686" s="2" t="s">
        <v>512</v>
      </c>
      <c r="Q686" s="2" t="s">
        <v>29</v>
      </c>
    </row>
    <row r="687" spans="1:17">
      <c r="A687" s="2" t="s">
        <v>311</v>
      </c>
      <c r="B687" s="2" t="str">
        <f>[1]Sheet1!M687</f>
        <v>男</v>
      </c>
      <c r="C687" s="3" t="str" cm="1">
        <f t="array" ref="C6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7" s="2" t="str">
        <f>MID([1]Sheet1!F687,FIND("(",[1]Sheet1!F687)+1,FIND("-",[1]Sheet1!F687)-FIND("(",[1]Sheet1!F687)-1)</f>
        <v>广东</v>
      </c>
      <c r="E687" s="2" t="str">
        <f>MID([1]Sheet1!F687,FIND("-",[1]Sheet1!F687)+1,FIND(")",[1]Sheet1!F687)-FIND("-",[1]Sheet1!F687)-1)</f>
        <v>东莞</v>
      </c>
      <c r="F687" s="2" t="s">
        <v>42</v>
      </c>
      <c r="G687" s="2" t="s">
        <v>50</v>
      </c>
      <c r="H687" s="2" t="s">
        <v>66</v>
      </c>
      <c r="I687" s="2" t="s">
        <v>21</v>
      </c>
      <c r="J687" s="2" t="s">
        <v>22</v>
      </c>
      <c r="K687" s="2" t="s">
        <v>121</v>
      </c>
      <c r="L687" s="2" t="s">
        <v>24</v>
      </c>
      <c r="M687" s="2" t="s">
        <v>36</v>
      </c>
      <c r="N687" s="2" t="s">
        <v>37</v>
      </c>
      <c r="O687" s="2" t="s">
        <v>27</v>
      </c>
      <c r="P687" s="2" t="s">
        <v>86</v>
      </c>
      <c r="Q687" s="2" t="s">
        <v>321</v>
      </c>
    </row>
    <row r="688" spans="1:17">
      <c r="A688" s="2" t="s">
        <v>988</v>
      </c>
      <c r="B688" s="2" t="str">
        <f>[1]Sheet1!M688</f>
        <v>男</v>
      </c>
      <c r="C688" s="3" t="str" cm="1">
        <f t="array" ref="C6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8" s="2" t="str">
        <f>MID([1]Sheet1!F688,FIND("(",[1]Sheet1!F688)+1,FIND("-",[1]Sheet1!F688)-FIND("(",[1]Sheet1!F688)-1)</f>
        <v>广东</v>
      </c>
      <c r="E688" s="2" t="str">
        <f>MID([1]Sheet1!F688,FIND("-",[1]Sheet1!F688)+1,FIND(")",[1]Sheet1!F688)-FIND("-",[1]Sheet1!F688)-1)</f>
        <v>茂名</v>
      </c>
      <c r="F688" s="2" t="s">
        <v>18</v>
      </c>
      <c r="G688" s="2" t="s">
        <v>32</v>
      </c>
      <c r="H688" s="2" t="s">
        <v>20</v>
      </c>
      <c r="I688" s="2" t="s">
        <v>21</v>
      </c>
      <c r="J688" s="2" t="s">
        <v>77</v>
      </c>
      <c r="K688" s="2" t="s">
        <v>397</v>
      </c>
      <c r="L688" s="2" t="s">
        <v>24</v>
      </c>
      <c r="M688" s="2" t="s">
        <v>111</v>
      </c>
      <c r="N688" s="2" t="s">
        <v>85</v>
      </c>
      <c r="O688" s="2" t="s">
        <v>97</v>
      </c>
      <c r="P688" s="2" t="s">
        <v>63</v>
      </c>
      <c r="Q688" s="2" t="s">
        <v>183</v>
      </c>
    </row>
    <row r="689" spans="1:17">
      <c r="A689" s="2" t="s">
        <v>989</v>
      </c>
      <c r="B689" s="2" t="str">
        <f>[1]Sheet1!M689</f>
        <v>男</v>
      </c>
      <c r="C689" s="3" t="str" cm="1">
        <f t="array" ref="C6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89" s="2" t="str">
        <f>MID([1]Sheet1!F689,FIND("(",[1]Sheet1!F689)+1,FIND("-",[1]Sheet1!F689)-FIND("(",[1]Sheet1!F689)-1)</f>
        <v>广东</v>
      </c>
      <c r="E689" s="2" t="str">
        <f>MID([1]Sheet1!F689,FIND("-",[1]Sheet1!F689)+1,FIND(")",[1]Sheet1!F689)-FIND("-",[1]Sheet1!F689)-1)</f>
        <v>汕头</v>
      </c>
      <c r="F689" s="2" t="s">
        <v>42</v>
      </c>
      <c r="G689" s="2" t="s">
        <v>19</v>
      </c>
      <c r="H689" s="2" t="s">
        <v>66</v>
      </c>
      <c r="I689" s="2" t="s">
        <v>21</v>
      </c>
      <c r="J689" s="2" t="s">
        <v>96</v>
      </c>
      <c r="K689" s="2" t="s">
        <v>117</v>
      </c>
      <c r="L689" s="2" t="s">
        <v>24</v>
      </c>
      <c r="M689" s="2" t="s">
        <v>36</v>
      </c>
      <c r="N689" s="2" t="s">
        <v>37</v>
      </c>
      <c r="O689" s="2" t="s">
        <v>47</v>
      </c>
      <c r="P689" s="2" t="s">
        <v>63</v>
      </c>
      <c r="Q689" s="2" t="s">
        <v>195</v>
      </c>
    </row>
    <row r="690" spans="1:17">
      <c r="A690" s="2" t="s">
        <v>990</v>
      </c>
      <c r="B690" s="2" t="str">
        <f>[1]Sheet1!M690</f>
        <v>男</v>
      </c>
      <c r="C690" s="3" t="str" cm="1">
        <f t="array" ref="C6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90" s="2" t="str">
        <f>MID([1]Sheet1!F690,FIND("(",[1]Sheet1!F690)+1,FIND("-",[1]Sheet1!F690)-FIND("(",[1]Sheet1!F690)-1)</f>
        <v>广东</v>
      </c>
      <c r="E690" s="2" t="str">
        <f>MID([1]Sheet1!F690,FIND("-",[1]Sheet1!F690)+1,FIND(")",[1]Sheet1!F690)-FIND("-",[1]Sheet1!F690)-1)</f>
        <v>东莞</v>
      </c>
      <c r="F690" s="2" t="s">
        <v>159</v>
      </c>
      <c r="G690" s="2" t="s">
        <v>19</v>
      </c>
      <c r="H690" s="2" t="s">
        <v>20</v>
      </c>
      <c r="I690" s="2" t="s">
        <v>73</v>
      </c>
      <c r="J690" s="2" t="s">
        <v>82</v>
      </c>
      <c r="K690" s="2" t="s">
        <v>991</v>
      </c>
      <c r="L690" s="2" t="s">
        <v>24</v>
      </c>
      <c r="M690" s="2" t="s">
        <v>36</v>
      </c>
      <c r="N690" s="2" t="s">
        <v>37</v>
      </c>
      <c r="O690" s="2" t="s">
        <v>47</v>
      </c>
      <c r="P690" s="2" t="s">
        <v>39</v>
      </c>
      <c r="Q690" s="2" t="s">
        <v>118</v>
      </c>
    </row>
    <row r="691" spans="1:17">
      <c r="A691" s="2" t="s">
        <v>992</v>
      </c>
      <c r="B691" s="2" t="str">
        <f>[1]Sheet1!M691</f>
        <v>男</v>
      </c>
      <c r="C691" s="3" t="str" cm="1">
        <f t="array" ref="C6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691" s="2" t="str">
        <f>MID([1]Sheet1!F691,FIND("(",[1]Sheet1!F691)+1,FIND("-",[1]Sheet1!F691)-FIND("(",[1]Sheet1!F691)-1)</f>
        <v>山东</v>
      </c>
      <c r="E691" s="2" t="str">
        <f>MID([1]Sheet1!F691,FIND("-",[1]Sheet1!F691)+1,FIND(")",[1]Sheet1!F691)-FIND("-",[1]Sheet1!F691)-1)</f>
        <v>济宁</v>
      </c>
      <c r="F691" s="2" t="s">
        <v>18</v>
      </c>
      <c r="G691" s="2" t="s">
        <v>32</v>
      </c>
      <c r="H691" s="2" t="s">
        <v>66</v>
      </c>
      <c r="I691" s="2" t="s">
        <v>51</v>
      </c>
      <c r="J691" s="2" t="s">
        <v>82</v>
      </c>
      <c r="K691" s="2" t="s">
        <v>115</v>
      </c>
      <c r="L691" s="2" t="s">
        <v>24</v>
      </c>
      <c r="M691" s="2" t="s">
        <v>92</v>
      </c>
      <c r="N691" s="2" t="s">
        <v>37</v>
      </c>
      <c r="O691" s="2" t="s">
        <v>204</v>
      </c>
      <c r="P691" s="2" t="s">
        <v>39</v>
      </c>
      <c r="Q691" s="2" t="s">
        <v>339</v>
      </c>
    </row>
    <row r="692" spans="1:17">
      <c r="A692" s="2" t="s">
        <v>993</v>
      </c>
      <c r="B692" s="2" t="str">
        <f>[1]Sheet1!M692</f>
        <v>男</v>
      </c>
      <c r="C692" s="3" t="str" cm="1">
        <f t="array" ref="C6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92" s="2" t="str">
        <f>MID([1]Sheet1!F692,FIND("(",[1]Sheet1!F692)+1,FIND("-",[1]Sheet1!F692)-FIND("(",[1]Sheet1!F692)-1)</f>
        <v>广东</v>
      </c>
      <c r="E692" s="2" t="str">
        <f>MID([1]Sheet1!F692,FIND("-",[1]Sheet1!F692)+1,FIND(")",[1]Sheet1!F692)-FIND("-",[1]Sheet1!F692)-1)</f>
        <v>广州</v>
      </c>
      <c r="F692" s="2" t="s">
        <v>70</v>
      </c>
      <c r="G692" s="2" t="s">
        <v>114</v>
      </c>
      <c r="H692" s="2" t="s">
        <v>66</v>
      </c>
      <c r="I692" s="2" t="s">
        <v>43</v>
      </c>
      <c r="J692" s="2" t="s">
        <v>22</v>
      </c>
      <c r="K692" s="2" t="s">
        <v>402</v>
      </c>
      <c r="L692" s="2" t="s">
        <v>83</v>
      </c>
      <c r="M692" s="2" t="s">
        <v>25</v>
      </c>
      <c r="N692" s="2" t="s">
        <v>37</v>
      </c>
      <c r="O692" s="2" t="s">
        <v>58</v>
      </c>
      <c r="P692" s="2" t="s">
        <v>179</v>
      </c>
      <c r="Q692" s="2" t="s">
        <v>367</v>
      </c>
    </row>
    <row r="693" spans="1:17">
      <c r="A693" s="2" t="s">
        <v>994</v>
      </c>
      <c r="B693" s="2" t="str">
        <f>[1]Sheet1!M693</f>
        <v>女</v>
      </c>
      <c r="C693" s="3" t="str" cm="1">
        <f t="array" ref="C6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93" s="2" t="str">
        <f>MID([1]Sheet1!F693,FIND("(",[1]Sheet1!F693)+1,FIND("-",[1]Sheet1!F693)-FIND("(",[1]Sheet1!F693)-1)</f>
        <v>广东</v>
      </c>
      <c r="E693" s="2" t="str">
        <f>MID([1]Sheet1!F693,FIND("-",[1]Sheet1!F693)+1,FIND(")",[1]Sheet1!F693)-FIND("-",[1]Sheet1!F693)-1)</f>
        <v>广州</v>
      </c>
      <c r="F693" s="2" t="s">
        <v>70</v>
      </c>
      <c r="G693" s="2" t="s">
        <v>114</v>
      </c>
      <c r="H693" s="2" t="s">
        <v>55</v>
      </c>
      <c r="I693" s="2" t="s">
        <v>51</v>
      </c>
      <c r="J693" s="2" t="s">
        <v>82</v>
      </c>
      <c r="K693" s="2" t="s">
        <v>167</v>
      </c>
      <c r="L693" s="2" t="s">
        <v>83</v>
      </c>
      <c r="M693" s="2" t="s">
        <v>36</v>
      </c>
      <c r="N693" s="2" t="s">
        <v>37</v>
      </c>
      <c r="O693" s="2" t="s">
        <v>47</v>
      </c>
      <c r="P693" s="2" t="s">
        <v>289</v>
      </c>
      <c r="Q693" s="2" t="s">
        <v>911</v>
      </c>
    </row>
    <row r="694" spans="1:17">
      <c r="A694" s="2" t="s">
        <v>995</v>
      </c>
      <c r="B694" s="2" t="str">
        <f>[1]Sheet1!M694</f>
        <v>男</v>
      </c>
      <c r="C694" s="3" t="str" cm="1">
        <f t="array" ref="C6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694" s="2" t="str">
        <f>MID([1]Sheet1!F694,FIND("(",[1]Sheet1!F694)+1,FIND("-",[1]Sheet1!F694)-FIND("(",[1]Sheet1!F694)-1)</f>
        <v>广西</v>
      </c>
      <c r="E694" s="2" t="str">
        <f>MID([1]Sheet1!F694,FIND("-",[1]Sheet1!F694)+1,FIND(")",[1]Sheet1!F694)-FIND("-",[1]Sheet1!F694)-1)</f>
        <v>钦州</v>
      </c>
      <c r="F694" s="2" t="s">
        <v>70</v>
      </c>
      <c r="G694" s="2" t="s">
        <v>162</v>
      </c>
      <c r="H694" s="2" t="s">
        <v>66</v>
      </c>
      <c r="I694" s="2" t="s">
        <v>21</v>
      </c>
      <c r="J694" s="2" t="s">
        <v>56</v>
      </c>
      <c r="K694" s="2" t="s">
        <v>372</v>
      </c>
      <c r="L694" s="2" t="s">
        <v>83</v>
      </c>
      <c r="M694" s="2" t="s">
        <v>36</v>
      </c>
      <c r="N694" s="2" t="s">
        <v>37</v>
      </c>
      <c r="O694" s="2" t="s">
        <v>47</v>
      </c>
      <c r="P694" s="2" t="s">
        <v>28</v>
      </c>
      <c r="Q694" s="2" t="s">
        <v>172</v>
      </c>
    </row>
    <row r="695" spans="1:17">
      <c r="A695" s="2" t="s">
        <v>996</v>
      </c>
      <c r="B695" s="2" t="str">
        <f>[1]Sheet1!M695</f>
        <v>男</v>
      </c>
      <c r="C695" s="3" t="str" cm="1">
        <f t="array" ref="C6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695" s="2" t="str">
        <f>MID([1]Sheet1!F695,FIND("(",[1]Sheet1!F695)+1,FIND("-",[1]Sheet1!F695)-FIND("(",[1]Sheet1!F695)-1)</f>
        <v>安徽</v>
      </c>
      <c r="E695" s="2" t="str">
        <f>MID([1]Sheet1!F695,FIND("-",[1]Sheet1!F695)+1,FIND(")",[1]Sheet1!F695)-FIND("-",[1]Sheet1!F695)-1)</f>
        <v>合肥</v>
      </c>
      <c r="F695" s="2" t="s">
        <v>18</v>
      </c>
      <c r="G695" s="2" t="s">
        <v>50</v>
      </c>
      <c r="H695" s="2" t="s">
        <v>20</v>
      </c>
      <c r="I695" s="2" t="s">
        <v>43</v>
      </c>
      <c r="J695" s="2" t="s">
        <v>82</v>
      </c>
      <c r="K695" s="2" t="s">
        <v>117</v>
      </c>
      <c r="L695" s="2" t="s">
        <v>24</v>
      </c>
      <c r="M695" s="2" t="s">
        <v>67</v>
      </c>
      <c r="N695" s="2" t="s">
        <v>37</v>
      </c>
      <c r="O695" s="2" t="s">
        <v>47</v>
      </c>
      <c r="P695" s="2" t="s">
        <v>86</v>
      </c>
      <c r="Q695" s="2" t="s">
        <v>238</v>
      </c>
    </row>
    <row r="696" spans="1:17">
      <c r="A696" s="2" t="s">
        <v>997</v>
      </c>
      <c r="B696" s="2" t="str">
        <f>[1]Sheet1!M696</f>
        <v>男</v>
      </c>
      <c r="C696" s="3" t="str" cm="1">
        <f t="array" ref="C6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696" s="2" t="str">
        <f>MID([1]Sheet1!F696,FIND("(",[1]Sheet1!F696)+1,FIND("-",[1]Sheet1!F696)-FIND("(",[1]Sheet1!F696)-1)</f>
        <v>辽宁</v>
      </c>
      <c r="E696" s="2" t="str">
        <f>MID([1]Sheet1!F696,FIND("-",[1]Sheet1!F696)+1,FIND(")",[1]Sheet1!F696)-FIND("-",[1]Sheet1!F696)-1)</f>
        <v>鞍山</v>
      </c>
      <c r="F696" s="2" t="s">
        <v>88</v>
      </c>
      <c r="G696" s="2" t="s">
        <v>32</v>
      </c>
      <c r="H696" s="2" t="s">
        <v>66</v>
      </c>
      <c r="I696" s="2" t="s">
        <v>21</v>
      </c>
      <c r="J696" s="2" t="s">
        <v>56</v>
      </c>
      <c r="K696" s="2" t="s">
        <v>121</v>
      </c>
      <c r="L696" s="2" t="s">
        <v>24</v>
      </c>
      <c r="M696" s="2" t="s">
        <v>143</v>
      </c>
      <c r="N696" s="2" t="s">
        <v>46</v>
      </c>
      <c r="O696" s="2" t="s">
        <v>38</v>
      </c>
      <c r="P696" s="2" t="s">
        <v>59</v>
      </c>
      <c r="Q696" s="2" t="s">
        <v>103</v>
      </c>
    </row>
    <row r="697" spans="1:17">
      <c r="A697" s="2" t="s">
        <v>998</v>
      </c>
      <c r="B697" s="2" t="str">
        <f>[1]Sheet1!M697</f>
        <v>女</v>
      </c>
      <c r="C697" s="3" t="str" cm="1">
        <f t="array" ref="C6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697" s="2" t="str">
        <f>MID([1]Sheet1!F697,FIND("(",[1]Sheet1!F697)+1,FIND("-",[1]Sheet1!F697)-FIND("(",[1]Sheet1!F697)-1)</f>
        <v>吉林</v>
      </c>
      <c r="E697" s="2" t="str">
        <f>MID([1]Sheet1!F697,FIND("-",[1]Sheet1!F697)+1,FIND(")",[1]Sheet1!F697)-FIND("-",[1]Sheet1!F697)-1)</f>
        <v>吉林</v>
      </c>
      <c r="F697" s="2" t="s">
        <v>42</v>
      </c>
      <c r="G697" s="2" t="s">
        <v>32</v>
      </c>
      <c r="H697" s="2" t="s">
        <v>66</v>
      </c>
      <c r="I697" s="2" t="s">
        <v>43</v>
      </c>
      <c r="J697" s="2" t="s">
        <v>82</v>
      </c>
      <c r="K697" s="2" t="s">
        <v>495</v>
      </c>
      <c r="L697" s="2" t="s">
        <v>24</v>
      </c>
      <c r="M697" s="2" t="s">
        <v>36</v>
      </c>
      <c r="N697" s="2" t="s">
        <v>37</v>
      </c>
      <c r="O697" s="2" t="s">
        <v>422</v>
      </c>
      <c r="P697" s="2" t="s">
        <v>28</v>
      </c>
      <c r="Q697" s="2" t="s">
        <v>999</v>
      </c>
    </row>
    <row r="698" spans="1:17">
      <c r="A698" s="2" t="s">
        <v>1000</v>
      </c>
      <c r="B698" s="2" t="str">
        <f>[1]Sheet1!M698</f>
        <v>男</v>
      </c>
      <c r="C698" s="3" t="str" cm="1">
        <f t="array" ref="C6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698" s="2" t="str">
        <f>MID([1]Sheet1!F698,FIND("(",[1]Sheet1!F698)+1,FIND("-",[1]Sheet1!F698)-FIND("(",[1]Sheet1!F698)-1)</f>
        <v>甘肃</v>
      </c>
      <c r="E698" s="2" t="str">
        <f>MID([1]Sheet1!F698,FIND("-",[1]Sheet1!F698)+1,FIND(")",[1]Sheet1!F698)-FIND("-",[1]Sheet1!F698)-1)</f>
        <v>金昌</v>
      </c>
      <c r="F698" s="2" t="s">
        <v>42</v>
      </c>
      <c r="G698" s="2" t="s">
        <v>32</v>
      </c>
      <c r="H698" s="2" t="s">
        <v>20</v>
      </c>
      <c r="I698" s="2" t="s">
        <v>21</v>
      </c>
      <c r="J698" s="2" t="s">
        <v>22</v>
      </c>
      <c r="K698" s="2" t="s">
        <v>115</v>
      </c>
      <c r="L698" s="2" t="s">
        <v>24</v>
      </c>
      <c r="M698" s="2" t="s">
        <v>36</v>
      </c>
      <c r="N698" s="2" t="s">
        <v>46</v>
      </c>
      <c r="O698" s="2" t="s">
        <v>89</v>
      </c>
      <c r="P698" s="2" t="s">
        <v>39</v>
      </c>
      <c r="Q698" s="2" t="s">
        <v>298</v>
      </c>
    </row>
    <row r="699" spans="1:17">
      <c r="A699" s="2" t="s">
        <v>1001</v>
      </c>
      <c r="B699" s="2" t="str">
        <f>[1]Sheet1!M699</f>
        <v>男</v>
      </c>
      <c r="C699" s="3" t="str" cm="1">
        <f t="array" ref="C6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699)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699" s="2" t="str">
        <f>MID([1]Sheet1!F699,FIND("(",[1]Sheet1!F699)+1,FIND("-",[1]Sheet1!F699)-FIND("(",[1]Sheet1!F699)-1)</f>
        <v>河北</v>
      </c>
      <c r="E699" s="2" t="str">
        <f>MID([1]Sheet1!F699,FIND("-",[1]Sheet1!F699)+1,FIND(")",[1]Sheet1!F699)-FIND("-",[1]Sheet1!F699)-1)</f>
        <v>保定</v>
      </c>
      <c r="F699" s="2" t="s">
        <v>70</v>
      </c>
      <c r="G699" s="2" t="s">
        <v>50</v>
      </c>
      <c r="H699" s="2" t="s">
        <v>20</v>
      </c>
      <c r="I699" s="2" t="s">
        <v>51</v>
      </c>
      <c r="J699" s="2" t="s">
        <v>77</v>
      </c>
      <c r="K699" s="2" t="s">
        <v>121</v>
      </c>
      <c r="L699" s="2" t="s">
        <v>24</v>
      </c>
      <c r="M699" s="2" t="s">
        <v>36</v>
      </c>
      <c r="N699" s="2" t="s">
        <v>85</v>
      </c>
      <c r="O699" s="2" t="s">
        <v>89</v>
      </c>
      <c r="P699" s="2" t="s">
        <v>39</v>
      </c>
      <c r="Q699" s="2" t="s">
        <v>1002</v>
      </c>
    </row>
    <row r="700" spans="1:17">
      <c r="A700" s="2" t="s">
        <v>1003</v>
      </c>
      <c r="B700" s="2" t="str">
        <f>[1]Sheet1!M700</f>
        <v>女</v>
      </c>
      <c r="C700" s="3" t="str" cm="1">
        <f t="array" ref="C7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00" s="2" t="str">
        <f>MID([1]Sheet1!F700,FIND("(",[1]Sheet1!F700)+1,FIND("-",[1]Sheet1!F700)-FIND("(",[1]Sheet1!F700)-1)</f>
        <v>河南</v>
      </c>
      <c r="E700" s="2" t="str">
        <f>MID([1]Sheet1!F700,FIND("-",[1]Sheet1!F700)+1,FIND(")",[1]Sheet1!F700)-FIND("-",[1]Sheet1!F700)-1)</f>
        <v>郑州</v>
      </c>
      <c r="F700" s="2" t="s">
        <v>70</v>
      </c>
      <c r="G700" s="2" t="s">
        <v>32</v>
      </c>
      <c r="H700" s="2" t="s">
        <v>66</v>
      </c>
      <c r="I700" s="2" t="s">
        <v>21</v>
      </c>
      <c r="J700" s="2" t="s">
        <v>82</v>
      </c>
      <c r="K700" s="2" t="s">
        <v>121</v>
      </c>
      <c r="L700" s="2" t="s">
        <v>83</v>
      </c>
      <c r="M700" s="2" t="s">
        <v>36</v>
      </c>
      <c r="N700" s="2" t="s">
        <v>37</v>
      </c>
      <c r="O700" s="2" t="s">
        <v>914</v>
      </c>
      <c r="P700" s="2" t="s">
        <v>175</v>
      </c>
      <c r="Q700" s="2" t="s">
        <v>160</v>
      </c>
    </row>
    <row r="701" spans="1:17">
      <c r="A701" s="2" t="s">
        <v>1004</v>
      </c>
      <c r="B701" s="2" t="str">
        <f>[1]Sheet1!M701</f>
        <v>男</v>
      </c>
      <c r="C701" s="3" t="str" cm="1">
        <f t="array" ref="C7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01" s="2" t="str">
        <f>MID([1]Sheet1!F701,FIND("(",[1]Sheet1!F701)+1,FIND("-",[1]Sheet1!F701)-FIND("(",[1]Sheet1!F701)-1)</f>
        <v>山东</v>
      </c>
      <c r="E701" s="2" t="str">
        <f>MID([1]Sheet1!F701,FIND("-",[1]Sheet1!F701)+1,FIND(")",[1]Sheet1!F701)-FIND("-",[1]Sheet1!F701)-1)</f>
        <v>菏泽</v>
      </c>
      <c r="F701" s="2" t="s">
        <v>18</v>
      </c>
      <c r="G701" s="2" t="s">
        <v>32</v>
      </c>
      <c r="H701" s="2" t="s">
        <v>33</v>
      </c>
      <c r="I701" s="2" t="s">
        <v>21</v>
      </c>
      <c r="J701" s="2" t="s">
        <v>77</v>
      </c>
      <c r="K701" s="2" t="s">
        <v>1005</v>
      </c>
      <c r="L701" s="2" t="s">
        <v>24</v>
      </c>
      <c r="M701" s="2" t="s">
        <v>36</v>
      </c>
      <c r="N701" s="2" t="s">
        <v>37</v>
      </c>
      <c r="O701" s="2" t="s">
        <v>58</v>
      </c>
      <c r="P701" s="2" t="s">
        <v>28</v>
      </c>
      <c r="Q701" s="2" t="s">
        <v>60</v>
      </c>
    </row>
    <row r="702" spans="1:17">
      <c r="A702" s="2" t="s">
        <v>1006</v>
      </c>
      <c r="B702" s="2" t="str">
        <f>[1]Sheet1!M702</f>
        <v>男</v>
      </c>
      <c r="C702" s="3" t="str" cm="1">
        <f t="array" ref="C7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02" s="2" t="str">
        <f>MID([1]Sheet1!F702,FIND("(",[1]Sheet1!F702)+1,FIND("-",[1]Sheet1!F702)-FIND("(",[1]Sheet1!F702)-1)</f>
        <v>广东</v>
      </c>
      <c r="E702" s="2" t="str">
        <f>MID([1]Sheet1!F702,FIND("-",[1]Sheet1!F702)+1,FIND(")",[1]Sheet1!F702)-FIND("-",[1]Sheet1!F702)-1)</f>
        <v>广州</v>
      </c>
      <c r="F702" s="2" t="s">
        <v>88</v>
      </c>
      <c r="G702" s="2" t="s">
        <v>50</v>
      </c>
      <c r="H702" s="2" t="s">
        <v>66</v>
      </c>
      <c r="I702" s="2" t="s">
        <v>211</v>
      </c>
      <c r="J702" s="2" t="s">
        <v>56</v>
      </c>
      <c r="K702" s="2" t="s">
        <v>117</v>
      </c>
      <c r="L702" s="2" t="s">
        <v>24</v>
      </c>
      <c r="M702" s="2" t="s">
        <v>25</v>
      </c>
      <c r="N702" s="2" t="s">
        <v>85</v>
      </c>
      <c r="O702" s="2" t="s">
        <v>1007</v>
      </c>
      <c r="P702" s="2" t="s">
        <v>28</v>
      </c>
      <c r="Q702" s="2" t="s">
        <v>94</v>
      </c>
    </row>
    <row r="703" spans="1:17">
      <c r="A703" s="2" t="s">
        <v>1008</v>
      </c>
      <c r="B703" s="2" t="str">
        <f>[1]Sheet1!M703</f>
        <v>女</v>
      </c>
      <c r="C703" s="3" t="str" cm="1">
        <f t="array" ref="C7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03" s="2" t="str">
        <f>MID([1]Sheet1!F703,FIND("(",[1]Sheet1!F703)+1,FIND("-",[1]Sheet1!F703)-FIND("(",[1]Sheet1!F703)-1)</f>
        <v>广西</v>
      </c>
      <c r="E703" s="2" t="str">
        <f>MID([1]Sheet1!F703,FIND("-",[1]Sheet1!F703)+1,FIND(")",[1]Sheet1!F703)-FIND("-",[1]Sheet1!F703)-1)</f>
        <v>柳州</v>
      </c>
      <c r="F703" s="2" t="s">
        <v>31</v>
      </c>
      <c r="G703" s="2" t="s">
        <v>19</v>
      </c>
      <c r="H703" s="2" t="s">
        <v>55</v>
      </c>
      <c r="I703" s="2" t="s">
        <v>73</v>
      </c>
      <c r="J703" s="2" t="s">
        <v>82</v>
      </c>
      <c r="K703" s="2" t="s">
        <v>117</v>
      </c>
      <c r="L703" s="2" t="s">
        <v>24</v>
      </c>
      <c r="M703" s="2" t="s">
        <v>36</v>
      </c>
      <c r="N703" s="2" t="s">
        <v>46</v>
      </c>
      <c r="O703" s="2" t="s">
        <v>204</v>
      </c>
      <c r="P703" s="2" t="s">
        <v>39</v>
      </c>
      <c r="Q703" s="2" t="s">
        <v>374</v>
      </c>
    </row>
    <row r="704" spans="1:17">
      <c r="A704" s="2" t="s">
        <v>1009</v>
      </c>
      <c r="B704" s="2" t="str">
        <f>[1]Sheet1!M704</f>
        <v>女</v>
      </c>
      <c r="C704" s="3" t="str" cm="1">
        <f t="array" ref="C7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04" s="2" t="str">
        <f>MID([1]Sheet1!F704,FIND("(",[1]Sheet1!F704)+1,FIND("-",[1]Sheet1!F704)-FIND("(",[1]Sheet1!F704)-1)</f>
        <v>广东</v>
      </c>
      <c r="E704" s="2" t="str">
        <f>MID([1]Sheet1!F704,FIND("-",[1]Sheet1!F704)+1,FIND(")",[1]Sheet1!F704)-FIND("-",[1]Sheet1!F704)-1)</f>
        <v>东莞</v>
      </c>
      <c r="F704" s="2" t="s">
        <v>18</v>
      </c>
      <c r="G704" s="2" t="s">
        <v>50</v>
      </c>
      <c r="H704" s="2" t="s">
        <v>20</v>
      </c>
      <c r="I704" s="2" t="s">
        <v>51</v>
      </c>
      <c r="J704" s="2" t="s">
        <v>82</v>
      </c>
      <c r="K704" s="2" t="s">
        <v>121</v>
      </c>
      <c r="L704" s="2" t="s">
        <v>24</v>
      </c>
      <c r="M704" s="2" t="s">
        <v>78</v>
      </c>
      <c r="N704" s="2" t="s">
        <v>46</v>
      </c>
      <c r="O704" s="2" t="s">
        <v>58</v>
      </c>
      <c r="P704" s="2" t="s">
        <v>39</v>
      </c>
      <c r="Q704" s="2" t="s">
        <v>75</v>
      </c>
    </row>
    <row r="705" spans="1:17">
      <c r="A705" s="2" t="s">
        <v>1010</v>
      </c>
      <c r="B705" s="2" t="str">
        <f>[1]Sheet1!M705</f>
        <v>女</v>
      </c>
      <c r="C705" s="3" t="str" cm="1">
        <f t="array" ref="C7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05" s="2" t="str">
        <f>MID([1]Sheet1!F705,FIND("(",[1]Sheet1!F705)+1,FIND("-",[1]Sheet1!F705)-FIND("(",[1]Sheet1!F705)-1)</f>
        <v>四川</v>
      </c>
      <c r="E705" s="2" t="str">
        <f>MID([1]Sheet1!F705,FIND("-",[1]Sheet1!F705)+1,FIND(")",[1]Sheet1!F705)-FIND("-",[1]Sheet1!F705)-1)</f>
        <v>泸州</v>
      </c>
      <c r="F705" s="2" t="s">
        <v>159</v>
      </c>
      <c r="G705" s="2" t="s">
        <v>32</v>
      </c>
      <c r="H705" s="2" t="s">
        <v>20</v>
      </c>
      <c r="I705" s="2" t="s">
        <v>120</v>
      </c>
      <c r="J705" s="2" t="s">
        <v>96</v>
      </c>
      <c r="K705" s="2" t="s">
        <v>240</v>
      </c>
      <c r="L705" s="2" t="s">
        <v>24</v>
      </c>
      <c r="M705" s="2" t="s">
        <v>71</v>
      </c>
      <c r="N705" s="2" t="s">
        <v>26</v>
      </c>
      <c r="O705" s="2" t="s">
        <v>58</v>
      </c>
      <c r="P705" s="2" t="s">
        <v>39</v>
      </c>
      <c r="Q705" s="2" t="s">
        <v>48</v>
      </c>
    </row>
    <row r="706" spans="1:17">
      <c r="A706" s="2" t="s">
        <v>1011</v>
      </c>
      <c r="B706" s="2" t="str">
        <f>[1]Sheet1!M706</f>
        <v>女</v>
      </c>
      <c r="C706" s="3" t="str" cm="1">
        <f t="array" ref="C7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06" s="2" t="str">
        <f>MID([1]Sheet1!F706,FIND("(",[1]Sheet1!F706)+1,FIND("-",[1]Sheet1!F706)-FIND("(",[1]Sheet1!F706)-1)</f>
        <v>湖南</v>
      </c>
      <c r="E706" s="2" t="str">
        <f>MID([1]Sheet1!F706,FIND("-",[1]Sheet1!F706)+1,FIND(")",[1]Sheet1!F706)-FIND("-",[1]Sheet1!F706)-1)</f>
        <v>张家界</v>
      </c>
      <c r="F706" s="2" t="s">
        <v>70</v>
      </c>
      <c r="G706" s="2" t="s">
        <v>162</v>
      </c>
      <c r="H706" s="2" t="s">
        <v>66</v>
      </c>
      <c r="I706" s="2" t="s">
        <v>51</v>
      </c>
      <c r="J706" s="2" t="s">
        <v>82</v>
      </c>
      <c r="K706" s="2" t="s">
        <v>1012</v>
      </c>
      <c r="L706" s="2" t="s">
        <v>83</v>
      </c>
      <c r="M706" s="2" t="s">
        <v>111</v>
      </c>
      <c r="N706" s="2" t="s">
        <v>37</v>
      </c>
      <c r="O706" s="2" t="s">
        <v>58</v>
      </c>
      <c r="P706" s="2" t="s">
        <v>63</v>
      </c>
      <c r="Q706" s="2" t="s">
        <v>123</v>
      </c>
    </row>
    <row r="707" spans="1:17">
      <c r="A707" s="2" t="s">
        <v>1013</v>
      </c>
      <c r="B707" s="2" t="str">
        <f>[1]Sheet1!M707</f>
        <v>男</v>
      </c>
      <c r="C707" s="3" t="str" cm="1">
        <f t="array" ref="C7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07" s="2" t="str">
        <f>MID([1]Sheet1!F707,FIND("(",[1]Sheet1!F707)+1,FIND("-",[1]Sheet1!F707)-FIND("(",[1]Sheet1!F707)-1)</f>
        <v>河南</v>
      </c>
      <c r="E707" s="2" t="str">
        <f>MID([1]Sheet1!F707,FIND("-",[1]Sheet1!F707)+1,FIND(")",[1]Sheet1!F707)-FIND("-",[1]Sheet1!F707)-1)</f>
        <v>平顶山</v>
      </c>
      <c r="F707" s="2" t="s">
        <v>42</v>
      </c>
      <c r="G707" s="2" t="s">
        <v>32</v>
      </c>
      <c r="H707" s="2" t="s">
        <v>66</v>
      </c>
      <c r="I707" s="2" t="s">
        <v>51</v>
      </c>
      <c r="J707" s="2" t="s">
        <v>96</v>
      </c>
      <c r="K707" s="2" t="s">
        <v>169</v>
      </c>
      <c r="L707" s="2" t="s">
        <v>24</v>
      </c>
      <c r="M707" s="2" t="s">
        <v>126</v>
      </c>
      <c r="N707" s="2" t="s">
        <v>37</v>
      </c>
      <c r="O707" s="2" t="s">
        <v>47</v>
      </c>
      <c r="P707" s="2" t="s">
        <v>63</v>
      </c>
      <c r="Q707" s="2" t="s">
        <v>48</v>
      </c>
    </row>
    <row r="708" spans="1:17">
      <c r="A708" s="2" t="s">
        <v>1014</v>
      </c>
      <c r="B708" s="2" t="str">
        <f>[1]Sheet1!M708</f>
        <v>男</v>
      </c>
      <c r="C708" s="3" t="str" cm="1">
        <f t="array" ref="C7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08" s="2" t="str">
        <f>MID([1]Sheet1!F708,FIND("(",[1]Sheet1!F708)+1,FIND("-",[1]Sheet1!F708)-FIND("(",[1]Sheet1!F708)-1)</f>
        <v>北京</v>
      </c>
      <c r="E708" s="2" t="str">
        <f>MID([1]Sheet1!F708,FIND("-",[1]Sheet1!F708)+1,FIND(")",[1]Sheet1!F708)-FIND("-",[1]Sheet1!F708)-1)</f>
        <v>北京</v>
      </c>
      <c r="F708" s="2" t="s">
        <v>88</v>
      </c>
      <c r="G708" s="2" t="s">
        <v>81</v>
      </c>
      <c r="H708" s="2" t="s">
        <v>20</v>
      </c>
      <c r="I708" s="2" t="s">
        <v>43</v>
      </c>
      <c r="J708" s="2" t="s">
        <v>35</v>
      </c>
      <c r="K708" s="2" t="s">
        <v>223</v>
      </c>
      <c r="L708" s="2" t="s">
        <v>24</v>
      </c>
      <c r="M708" s="2" t="s">
        <v>360</v>
      </c>
      <c r="N708" s="2" t="s">
        <v>37</v>
      </c>
      <c r="O708" s="2" t="s">
        <v>58</v>
      </c>
      <c r="P708" s="2" t="s">
        <v>39</v>
      </c>
      <c r="Q708" s="2" t="s">
        <v>1015</v>
      </c>
    </row>
    <row r="709" spans="1:17">
      <c r="A709" s="2" t="s">
        <v>1016</v>
      </c>
      <c r="B709" s="2" t="str">
        <f>[1]Sheet1!M709</f>
        <v>男</v>
      </c>
      <c r="C709" s="3" t="str" cm="1">
        <f t="array" ref="C7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09" s="2" t="str">
        <f>MID([1]Sheet1!F709,FIND("(",[1]Sheet1!F709)+1,FIND("-",[1]Sheet1!F709)-FIND("(",[1]Sheet1!F709)-1)</f>
        <v>广东</v>
      </c>
      <c r="E709" s="2" t="str">
        <f>MID([1]Sheet1!F709,FIND("-",[1]Sheet1!F709)+1,FIND(")",[1]Sheet1!F709)-FIND("-",[1]Sheet1!F709)-1)</f>
        <v>东莞</v>
      </c>
      <c r="F709" s="2" t="s">
        <v>70</v>
      </c>
      <c r="G709" s="2" t="s">
        <v>114</v>
      </c>
      <c r="H709" s="2" t="s">
        <v>66</v>
      </c>
      <c r="I709" s="2" t="s">
        <v>51</v>
      </c>
      <c r="J709" s="2" t="s">
        <v>96</v>
      </c>
      <c r="K709" s="2" t="s">
        <v>397</v>
      </c>
      <c r="L709" s="2" t="s">
        <v>24</v>
      </c>
      <c r="M709" s="2" t="s">
        <v>36</v>
      </c>
      <c r="N709" s="2" t="s">
        <v>26</v>
      </c>
      <c r="O709" s="2" t="s">
        <v>89</v>
      </c>
      <c r="P709" s="2" t="s">
        <v>39</v>
      </c>
      <c r="Q709" s="2" t="s">
        <v>400</v>
      </c>
    </row>
    <row r="710" spans="1:17">
      <c r="A710" s="2" t="s">
        <v>1017</v>
      </c>
      <c r="B710" s="2" t="str">
        <f>[1]Sheet1!M710</f>
        <v>男</v>
      </c>
      <c r="C710" s="3" t="str" cm="1">
        <f t="array" ref="C7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10" s="2" t="str">
        <f>MID([1]Sheet1!F710,FIND("(",[1]Sheet1!F710)+1,FIND("-",[1]Sheet1!F710)-FIND("(",[1]Sheet1!F710)-1)</f>
        <v>广西</v>
      </c>
      <c r="E710" s="2" t="str">
        <f>MID([1]Sheet1!F710,FIND("-",[1]Sheet1!F710)+1,FIND(")",[1]Sheet1!F710)-FIND("-",[1]Sheet1!F710)-1)</f>
        <v>玉林</v>
      </c>
      <c r="F710" s="2" t="s">
        <v>42</v>
      </c>
      <c r="G710" s="2" t="s">
        <v>81</v>
      </c>
      <c r="H710" s="2" t="s">
        <v>20</v>
      </c>
      <c r="I710" s="2" t="s">
        <v>21</v>
      </c>
      <c r="J710" s="2" t="s">
        <v>82</v>
      </c>
      <c r="K710" s="2" t="s">
        <v>121</v>
      </c>
      <c r="L710" s="2" t="s">
        <v>83</v>
      </c>
      <c r="M710" s="2" t="s">
        <v>67</v>
      </c>
      <c r="N710" s="2" t="s">
        <v>37</v>
      </c>
      <c r="O710" s="2" t="s">
        <v>47</v>
      </c>
      <c r="P710" s="2" t="s">
        <v>86</v>
      </c>
      <c r="Q710" s="2" t="s">
        <v>687</v>
      </c>
    </row>
    <row r="711" spans="1:17">
      <c r="A711" s="2" t="s">
        <v>1018</v>
      </c>
      <c r="B711" s="2" t="str">
        <f>[1]Sheet1!M711</f>
        <v>男</v>
      </c>
      <c r="C711" s="3" t="str" cm="1">
        <f t="array" ref="C7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11" s="2" t="str">
        <f>MID([1]Sheet1!F711,FIND("(",[1]Sheet1!F711)+1,FIND("-",[1]Sheet1!F711)-FIND("(",[1]Sheet1!F711)-1)</f>
        <v>内蒙古</v>
      </c>
      <c r="E711" s="2" t="str">
        <f>MID([1]Sheet1!F711,FIND("-",[1]Sheet1!F711)+1,FIND(")",[1]Sheet1!F711)-FIND("-",[1]Sheet1!F711)-1)</f>
        <v>呼和浩特</v>
      </c>
      <c r="F711" s="2" t="s">
        <v>18</v>
      </c>
      <c r="G711" s="2" t="s">
        <v>162</v>
      </c>
      <c r="H711" s="2" t="s">
        <v>66</v>
      </c>
      <c r="I711" s="2" t="s">
        <v>43</v>
      </c>
      <c r="J711" s="2" t="s">
        <v>35</v>
      </c>
      <c r="K711" s="2" t="s">
        <v>121</v>
      </c>
      <c r="L711" s="2" t="s">
        <v>24</v>
      </c>
      <c r="M711" s="2" t="s">
        <v>57</v>
      </c>
      <c r="N711" s="2" t="s">
        <v>26</v>
      </c>
      <c r="O711" s="2" t="s">
        <v>89</v>
      </c>
      <c r="P711" s="2" t="s">
        <v>63</v>
      </c>
      <c r="Q711" s="2" t="s">
        <v>968</v>
      </c>
    </row>
    <row r="712" spans="1:17">
      <c r="A712" s="2" t="s">
        <v>1019</v>
      </c>
      <c r="B712" s="2" t="str">
        <f>[1]Sheet1!M712</f>
        <v>男</v>
      </c>
      <c r="C712" s="3" t="str" cm="1">
        <f t="array" ref="C7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12" s="2" t="str">
        <f>MID([1]Sheet1!F712,FIND("(",[1]Sheet1!F712)+1,FIND("-",[1]Sheet1!F712)-FIND("(",[1]Sheet1!F712)-1)</f>
        <v>河南</v>
      </c>
      <c r="E712" s="2" t="str">
        <f>MID([1]Sheet1!F712,FIND("-",[1]Sheet1!F712)+1,FIND(")",[1]Sheet1!F712)-FIND("-",[1]Sheet1!F712)-1)</f>
        <v>郑州</v>
      </c>
      <c r="F712" s="2" t="s">
        <v>70</v>
      </c>
      <c r="G712" s="2" t="s">
        <v>114</v>
      </c>
      <c r="H712" s="2" t="s">
        <v>66</v>
      </c>
      <c r="I712" s="2" t="s">
        <v>34</v>
      </c>
      <c r="J712" s="2" t="s">
        <v>56</v>
      </c>
      <c r="K712" s="2" t="s">
        <v>402</v>
      </c>
      <c r="L712" s="2" t="s">
        <v>83</v>
      </c>
      <c r="M712" s="2" t="s">
        <v>36</v>
      </c>
      <c r="N712" s="2" t="s">
        <v>37</v>
      </c>
      <c r="O712" s="2" t="s">
        <v>398</v>
      </c>
      <c r="P712" s="2" t="s">
        <v>175</v>
      </c>
      <c r="Q712" s="2" t="s">
        <v>40</v>
      </c>
    </row>
    <row r="713" spans="1:17">
      <c r="A713" s="2" t="s">
        <v>1020</v>
      </c>
      <c r="B713" s="2" t="str">
        <f>[1]Sheet1!M713</f>
        <v>女</v>
      </c>
      <c r="C713" s="3" t="str" cm="1">
        <f t="array" ref="C7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13" s="2" t="str">
        <f>MID([1]Sheet1!F713,FIND("(",[1]Sheet1!F713)+1,FIND("-",[1]Sheet1!F713)-FIND("(",[1]Sheet1!F713)-1)</f>
        <v>山东</v>
      </c>
      <c r="E713" s="2" t="str">
        <f>MID([1]Sheet1!F713,FIND("-",[1]Sheet1!F713)+1,FIND(")",[1]Sheet1!F713)-FIND("-",[1]Sheet1!F713)-1)</f>
        <v>枣庄</v>
      </c>
      <c r="F713" s="2" t="s">
        <v>42</v>
      </c>
      <c r="G713" s="2" t="s">
        <v>32</v>
      </c>
      <c r="H713" s="2" t="s">
        <v>20</v>
      </c>
      <c r="I713" s="2" t="s">
        <v>51</v>
      </c>
      <c r="J713" s="2" t="s">
        <v>82</v>
      </c>
      <c r="K713" s="2" t="s">
        <v>115</v>
      </c>
      <c r="L713" s="2" t="s">
        <v>24</v>
      </c>
      <c r="M713" s="2" t="s">
        <v>78</v>
      </c>
      <c r="N713" s="2" t="s">
        <v>46</v>
      </c>
      <c r="O713" s="2" t="s">
        <v>47</v>
      </c>
      <c r="P713" s="2" t="s">
        <v>39</v>
      </c>
      <c r="Q713" s="2" t="s">
        <v>1021</v>
      </c>
    </row>
    <row r="714" spans="1:17">
      <c r="A714" s="2" t="s">
        <v>1022</v>
      </c>
      <c r="B714" s="2" t="str">
        <f>[1]Sheet1!M714</f>
        <v>男</v>
      </c>
      <c r="C714" s="3" t="str" cm="1">
        <f t="array" ref="C7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14" s="2" t="str">
        <f>MID([1]Sheet1!F714,FIND("(",[1]Sheet1!F714)+1,FIND("-",[1]Sheet1!F714)-FIND("(",[1]Sheet1!F714)-1)</f>
        <v>河南</v>
      </c>
      <c r="E714" s="2" t="str">
        <f>MID([1]Sheet1!F714,FIND("-",[1]Sheet1!F714)+1,FIND(")",[1]Sheet1!F714)-FIND("-",[1]Sheet1!F714)-1)</f>
        <v>洛阳</v>
      </c>
      <c r="F714" s="2" t="s">
        <v>42</v>
      </c>
      <c r="G714" s="2" t="s">
        <v>50</v>
      </c>
      <c r="H714" s="2" t="s">
        <v>20</v>
      </c>
      <c r="I714" s="2" t="s">
        <v>120</v>
      </c>
      <c r="J714" s="2" t="s">
        <v>82</v>
      </c>
      <c r="K714" s="2" t="s">
        <v>115</v>
      </c>
      <c r="L714" s="2" t="s">
        <v>24</v>
      </c>
      <c r="M714" s="2" t="s">
        <v>111</v>
      </c>
      <c r="N714" s="2" t="s">
        <v>37</v>
      </c>
      <c r="O714" s="2" t="s">
        <v>27</v>
      </c>
      <c r="P714" s="2" t="s">
        <v>63</v>
      </c>
      <c r="Q714" s="2" t="s">
        <v>29</v>
      </c>
    </row>
    <row r="715" spans="1:17">
      <c r="A715" s="2" t="s">
        <v>1023</v>
      </c>
      <c r="B715" s="2" t="str">
        <f>[1]Sheet1!M715</f>
        <v>男</v>
      </c>
      <c r="C715" s="3" t="str" cm="1">
        <f t="array" ref="C7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15" s="2" t="str">
        <f>MID([1]Sheet1!F715,FIND("(",[1]Sheet1!F715)+1,FIND("-",[1]Sheet1!F715)-FIND("(",[1]Sheet1!F715)-1)</f>
        <v>山东</v>
      </c>
      <c r="E715" s="2" t="str">
        <f>MID([1]Sheet1!F715,FIND("-",[1]Sheet1!F715)+1,FIND(")",[1]Sheet1!F715)-FIND("-",[1]Sheet1!F715)-1)</f>
        <v>烟台</v>
      </c>
      <c r="F715" s="2" t="s">
        <v>18</v>
      </c>
      <c r="G715" s="2" t="s">
        <v>32</v>
      </c>
      <c r="H715" s="2" t="s">
        <v>66</v>
      </c>
      <c r="I715" s="2" t="s">
        <v>34</v>
      </c>
      <c r="J715" s="2" t="s">
        <v>82</v>
      </c>
      <c r="K715" s="2" t="s">
        <v>115</v>
      </c>
      <c r="L715" s="2" t="s">
        <v>83</v>
      </c>
      <c r="M715" s="2" t="s">
        <v>84</v>
      </c>
      <c r="N715" s="2" t="s">
        <v>85</v>
      </c>
      <c r="O715" s="2" t="s">
        <v>47</v>
      </c>
      <c r="P715" s="2" t="s">
        <v>179</v>
      </c>
      <c r="Q715" s="2" t="s">
        <v>481</v>
      </c>
    </row>
    <row r="716" spans="1:17">
      <c r="A716" s="2" t="s">
        <v>1024</v>
      </c>
      <c r="B716" s="2" t="str">
        <f>[1]Sheet1!M716</f>
        <v>男</v>
      </c>
      <c r="C716" s="3" t="str" cm="1">
        <f t="array" ref="C7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16" s="2" t="str">
        <f>MID([1]Sheet1!F716,FIND("(",[1]Sheet1!F716)+1,FIND("-",[1]Sheet1!F716)-FIND("(",[1]Sheet1!F716)-1)</f>
        <v>山西</v>
      </c>
      <c r="E716" s="2" t="str">
        <f>MID([1]Sheet1!F716,FIND("-",[1]Sheet1!F716)+1,FIND(")",[1]Sheet1!F716)-FIND("-",[1]Sheet1!F716)-1)</f>
        <v>运城</v>
      </c>
      <c r="F716" s="2" t="s">
        <v>70</v>
      </c>
      <c r="G716" s="2" t="s">
        <v>32</v>
      </c>
      <c r="H716" s="2" t="s">
        <v>66</v>
      </c>
      <c r="I716" s="2" t="s">
        <v>51</v>
      </c>
      <c r="J716" s="2" t="s">
        <v>56</v>
      </c>
      <c r="K716" s="2" t="s">
        <v>117</v>
      </c>
      <c r="L716" s="2" t="s">
        <v>24</v>
      </c>
      <c r="M716" s="2" t="s">
        <v>143</v>
      </c>
      <c r="N716" s="2" t="s">
        <v>37</v>
      </c>
      <c r="O716" s="2" t="s">
        <v>74</v>
      </c>
      <c r="P716" s="2" t="s">
        <v>86</v>
      </c>
      <c r="Q716" s="2" t="s">
        <v>103</v>
      </c>
    </row>
    <row r="717" spans="1:17">
      <c r="A717" s="2" t="s">
        <v>1025</v>
      </c>
      <c r="B717" s="2" t="str">
        <f>[1]Sheet1!M717</f>
        <v>男</v>
      </c>
      <c r="C717" s="3" t="str" cm="1">
        <f t="array" ref="C7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17" s="2" t="str">
        <f>MID([1]Sheet1!F717,FIND("(",[1]Sheet1!F717)+1,FIND("-",[1]Sheet1!F717)-FIND("(",[1]Sheet1!F717)-1)</f>
        <v>山东</v>
      </c>
      <c r="E717" s="2" t="str">
        <f>MID([1]Sheet1!F717,FIND("-",[1]Sheet1!F717)+1,FIND(")",[1]Sheet1!F717)-FIND("-",[1]Sheet1!F717)-1)</f>
        <v>济南</v>
      </c>
      <c r="F717" s="2" t="s">
        <v>70</v>
      </c>
      <c r="G717" s="2" t="s">
        <v>19</v>
      </c>
      <c r="H717" s="2" t="s">
        <v>20</v>
      </c>
      <c r="I717" s="2" t="s">
        <v>21</v>
      </c>
      <c r="J717" s="2" t="s">
        <v>96</v>
      </c>
      <c r="K717" s="2" t="s">
        <v>117</v>
      </c>
      <c r="L717" s="2" t="s">
        <v>24</v>
      </c>
      <c r="M717" s="2" t="s">
        <v>1026</v>
      </c>
      <c r="N717" s="2" t="s">
        <v>37</v>
      </c>
      <c r="O717" s="2" t="s">
        <v>89</v>
      </c>
      <c r="P717" s="2" t="s">
        <v>218</v>
      </c>
      <c r="Q717" s="2" t="s">
        <v>356</v>
      </c>
    </row>
    <row r="718" spans="1:17">
      <c r="A718" s="2" t="s">
        <v>1027</v>
      </c>
      <c r="B718" s="2" t="str">
        <f>[1]Sheet1!M718</f>
        <v>男</v>
      </c>
      <c r="C718" s="3" t="str" cm="1">
        <f t="array" ref="C7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18" s="2" t="str">
        <f>MID([1]Sheet1!F718,FIND("(",[1]Sheet1!F718)+1,FIND("-",[1]Sheet1!F718)-FIND("(",[1]Sheet1!F718)-1)</f>
        <v>吉林</v>
      </c>
      <c r="E718" s="2" t="str">
        <f>MID([1]Sheet1!F718,FIND("-",[1]Sheet1!F718)+1,FIND(")",[1]Sheet1!F718)-FIND("-",[1]Sheet1!F718)-1)</f>
        <v>吉林</v>
      </c>
      <c r="F718" s="2" t="s">
        <v>159</v>
      </c>
      <c r="G718" s="2" t="s">
        <v>32</v>
      </c>
      <c r="H718" s="2" t="s">
        <v>66</v>
      </c>
      <c r="I718" s="2" t="s">
        <v>51</v>
      </c>
      <c r="J718" s="2" t="s">
        <v>44</v>
      </c>
      <c r="K718" s="2" t="s">
        <v>115</v>
      </c>
      <c r="L718" s="2" t="s">
        <v>24</v>
      </c>
      <c r="M718" s="2" t="s">
        <v>36</v>
      </c>
      <c r="N718" s="2" t="s">
        <v>37</v>
      </c>
      <c r="O718" s="2" t="s">
        <v>373</v>
      </c>
      <c r="P718" s="2" t="s">
        <v>63</v>
      </c>
      <c r="Q718" s="2" t="s">
        <v>200</v>
      </c>
    </row>
    <row r="719" spans="1:17">
      <c r="A719" s="2" t="s">
        <v>1028</v>
      </c>
      <c r="B719" s="2" t="str">
        <f>[1]Sheet1!M719</f>
        <v>男</v>
      </c>
      <c r="C719" s="3" t="str" cm="1">
        <f t="array" ref="C7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19" s="2" t="str">
        <f>MID([1]Sheet1!F719,FIND("(",[1]Sheet1!F719)+1,FIND("-",[1]Sheet1!F719)-FIND("(",[1]Sheet1!F719)-1)</f>
        <v>上海</v>
      </c>
      <c r="E719" s="2" t="str">
        <f>MID([1]Sheet1!F719,FIND("-",[1]Sheet1!F719)+1,FIND(")",[1]Sheet1!F719)-FIND("-",[1]Sheet1!F719)-1)</f>
        <v>上海</v>
      </c>
      <c r="F719" s="2" t="s">
        <v>18</v>
      </c>
      <c r="G719" s="2" t="s">
        <v>50</v>
      </c>
      <c r="H719" s="2" t="s">
        <v>20</v>
      </c>
      <c r="I719" s="2" t="s">
        <v>43</v>
      </c>
      <c r="J719" s="2" t="s">
        <v>82</v>
      </c>
      <c r="K719" s="2" t="s">
        <v>117</v>
      </c>
      <c r="L719" s="2" t="s">
        <v>24</v>
      </c>
      <c r="M719" s="2" t="s">
        <v>143</v>
      </c>
      <c r="N719" s="2" t="s">
        <v>37</v>
      </c>
      <c r="O719" s="2" t="s">
        <v>89</v>
      </c>
      <c r="P719" s="2" t="s">
        <v>39</v>
      </c>
      <c r="Q719" s="2" t="s">
        <v>195</v>
      </c>
    </row>
    <row r="720" spans="1:17">
      <c r="A720" s="2" t="s">
        <v>1029</v>
      </c>
      <c r="B720" s="2" t="str">
        <f>[1]Sheet1!M720</f>
        <v>女</v>
      </c>
      <c r="C720" s="3" t="str" cm="1">
        <f t="array" ref="C7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20" s="2" t="str">
        <f>MID([1]Sheet1!F720,FIND("(",[1]Sheet1!F720)+1,FIND("-",[1]Sheet1!F720)-FIND("(",[1]Sheet1!F720)-1)</f>
        <v>吉林</v>
      </c>
      <c r="E720" s="2" t="str">
        <f>MID([1]Sheet1!F720,FIND("-",[1]Sheet1!F720)+1,FIND(")",[1]Sheet1!F720)-FIND("-",[1]Sheet1!F720)-1)</f>
        <v>长春</v>
      </c>
      <c r="F720" s="2" t="s">
        <v>18</v>
      </c>
      <c r="G720" s="2" t="s">
        <v>50</v>
      </c>
      <c r="H720" s="2" t="s">
        <v>66</v>
      </c>
      <c r="I720" s="2" t="s">
        <v>21</v>
      </c>
      <c r="J720" s="2" t="s">
        <v>82</v>
      </c>
      <c r="K720" s="2" t="s">
        <v>115</v>
      </c>
      <c r="L720" s="2" t="s">
        <v>83</v>
      </c>
      <c r="M720" s="2" t="s">
        <v>78</v>
      </c>
      <c r="N720" s="2" t="s">
        <v>37</v>
      </c>
      <c r="O720" s="2" t="s">
        <v>47</v>
      </c>
      <c r="P720" s="2" t="s">
        <v>28</v>
      </c>
      <c r="Q720" s="2" t="s">
        <v>133</v>
      </c>
    </row>
    <row r="721" spans="1:17">
      <c r="A721" s="2" t="s">
        <v>1030</v>
      </c>
      <c r="B721" s="2" t="str">
        <f>[1]Sheet1!M721</f>
        <v>男</v>
      </c>
      <c r="C721" s="3" t="str" cm="1">
        <f t="array" ref="C7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21" s="2" t="str">
        <f>MID([1]Sheet1!F721,FIND("(",[1]Sheet1!F721)+1,FIND("-",[1]Sheet1!F721)-FIND("(",[1]Sheet1!F721)-1)</f>
        <v>山东</v>
      </c>
      <c r="E721" s="2" t="str">
        <f>MID([1]Sheet1!F721,FIND("-",[1]Sheet1!F721)+1,FIND(")",[1]Sheet1!F721)-FIND("-",[1]Sheet1!F721)-1)</f>
        <v>济南</v>
      </c>
      <c r="F721" s="2" t="s">
        <v>18</v>
      </c>
      <c r="G721" s="2" t="s">
        <v>50</v>
      </c>
      <c r="H721" s="2" t="s">
        <v>66</v>
      </c>
      <c r="I721" s="2" t="s">
        <v>21</v>
      </c>
      <c r="J721" s="2" t="s">
        <v>22</v>
      </c>
      <c r="K721" s="2" t="s">
        <v>240</v>
      </c>
      <c r="L721" s="2" t="s">
        <v>24</v>
      </c>
      <c r="M721" s="2" t="s">
        <v>716</v>
      </c>
      <c r="N721" s="2" t="s">
        <v>46</v>
      </c>
      <c r="O721" s="2" t="s">
        <v>58</v>
      </c>
      <c r="P721" s="2" t="s">
        <v>86</v>
      </c>
      <c r="Q721" s="2" t="s">
        <v>157</v>
      </c>
    </row>
    <row r="722" spans="1:17">
      <c r="A722" s="2" t="s">
        <v>1031</v>
      </c>
      <c r="B722" s="2" t="str">
        <f>[1]Sheet1!M722</f>
        <v>男</v>
      </c>
      <c r="C722" s="3" t="str" cm="1">
        <f t="array" ref="C7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22" s="2" t="str">
        <f>MID([1]Sheet1!F722,FIND("(",[1]Sheet1!F722)+1,FIND("-",[1]Sheet1!F722)-FIND("(",[1]Sheet1!F722)-1)</f>
        <v>陕西</v>
      </c>
      <c r="E722" s="2" t="str">
        <f>MID([1]Sheet1!F722,FIND("-",[1]Sheet1!F722)+1,FIND(")",[1]Sheet1!F722)-FIND("-",[1]Sheet1!F722)-1)</f>
        <v>渭南</v>
      </c>
      <c r="F722" s="2" t="s">
        <v>31</v>
      </c>
      <c r="G722" s="2" t="s">
        <v>81</v>
      </c>
      <c r="H722" s="2" t="s">
        <v>33</v>
      </c>
      <c r="I722" s="2" t="s">
        <v>51</v>
      </c>
      <c r="J722" s="2" t="s">
        <v>44</v>
      </c>
      <c r="K722" s="2" t="s">
        <v>412</v>
      </c>
      <c r="L722" s="2" t="s">
        <v>83</v>
      </c>
      <c r="M722" s="2" t="s">
        <v>143</v>
      </c>
      <c r="N722" s="2" t="s">
        <v>37</v>
      </c>
      <c r="O722" s="2" t="s">
        <v>89</v>
      </c>
      <c r="P722" s="2" t="s">
        <v>39</v>
      </c>
      <c r="Q722" s="2" t="s">
        <v>40</v>
      </c>
    </row>
    <row r="723" spans="1:17">
      <c r="A723" s="2" t="s">
        <v>1032</v>
      </c>
      <c r="B723" s="2" t="str">
        <f>[1]Sheet1!M723</f>
        <v>男</v>
      </c>
      <c r="C723" s="3" t="str" cm="1">
        <f t="array" ref="C7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23" s="2" t="str">
        <f>MID([1]Sheet1!F723,FIND("(",[1]Sheet1!F723)+1,FIND("-",[1]Sheet1!F723)-FIND("(",[1]Sheet1!F723)-1)</f>
        <v>宁夏</v>
      </c>
      <c r="E723" s="2" t="str">
        <f>MID([1]Sheet1!F723,FIND("-",[1]Sheet1!F723)+1,FIND(")",[1]Sheet1!F723)-FIND("-",[1]Sheet1!F723)-1)</f>
        <v>银川</v>
      </c>
      <c r="F723" s="2" t="s">
        <v>31</v>
      </c>
      <c r="G723" s="2" t="s">
        <v>50</v>
      </c>
      <c r="H723" s="2" t="s">
        <v>66</v>
      </c>
      <c r="I723" s="2" t="s">
        <v>120</v>
      </c>
      <c r="J723" s="2" t="s">
        <v>35</v>
      </c>
      <c r="K723" s="2" t="s">
        <v>223</v>
      </c>
      <c r="L723" s="2" t="s">
        <v>24</v>
      </c>
      <c r="M723" s="2" t="s">
        <v>78</v>
      </c>
      <c r="N723" s="2" t="s">
        <v>46</v>
      </c>
      <c r="O723" s="2" t="s">
        <v>545</v>
      </c>
      <c r="P723" s="2" t="s">
        <v>63</v>
      </c>
      <c r="Q723" s="2" t="s">
        <v>1033</v>
      </c>
    </row>
    <row r="724" spans="1:17">
      <c r="A724" s="2" t="s">
        <v>1034</v>
      </c>
      <c r="B724" s="2" t="str">
        <f>[1]Sheet1!M724</f>
        <v>男</v>
      </c>
      <c r="C724" s="3" t="str" cm="1">
        <f t="array" ref="C7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24" s="2" t="str">
        <f>MID([1]Sheet1!F724,FIND("(",[1]Sheet1!F724)+1,FIND("-",[1]Sheet1!F724)-FIND("(",[1]Sheet1!F724)-1)</f>
        <v>广东</v>
      </c>
      <c r="E724" s="2" t="str">
        <f>MID([1]Sheet1!F724,FIND("-",[1]Sheet1!F724)+1,FIND(")",[1]Sheet1!F724)-FIND("-",[1]Sheet1!F724)-1)</f>
        <v>惠州</v>
      </c>
      <c r="F724" s="2" t="s">
        <v>31</v>
      </c>
      <c r="G724" s="2" t="s">
        <v>19</v>
      </c>
      <c r="H724" s="2" t="s">
        <v>66</v>
      </c>
      <c r="I724" s="2" t="s">
        <v>73</v>
      </c>
      <c r="J724" s="2" t="s">
        <v>82</v>
      </c>
      <c r="K724" s="2" t="s">
        <v>121</v>
      </c>
      <c r="L724" s="2" t="s">
        <v>24</v>
      </c>
      <c r="M724" s="2" t="s">
        <v>36</v>
      </c>
      <c r="N724" s="2" t="s">
        <v>26</v>
      </c>
      <c r="O724" s="2" t="s">
        <v>199</v>
      </c>
      <c r="P724" s="2" t="s">
        <v>39</v>
      </c>
      <c r="Q724" s="2" t="s">
        <v>645</v>
      </c>
    </row>
    <row r="725" spans="1:17">
      <c r="A725" s="2" t="s">
        <v>1035</v>
      </c>
      <c r="B725" s="2" t="str">
        <f>[1]Sheet1!M725</f>
        <v>男</v>
      </c>
      <c r="C725" s="3" t="str" cm="1">
        <f t="array" ref="C7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25" s="2" t="str">
        <f>MID([1]Sheet1!F725,FIND("(",[1]Sheet1!F725)+1,FIND("-",[1]Sheet1!F725)-FIND("(",[1]Sheet1!F725)-1)</f>
        <v>陕西</v>
      </c>
      <c r="E725" s="2" t="str">
        <f>MID([1]Sheet1!F725,FIND("-",[1]Sheet1!F725)+1,FIND(")",[1]Sheet1!F725)-FIND("-",[1]Sheet1!F725)-1)</f>
        <v>西安</v>
      </c>
      <c r="F725" s="2" t="s">
        <v>42</v>
      </c>
      <c r="G725" s="2" t="s">
        <v>19</v>
      </c>
      <c r="H725" s="2" t="s">
        <v>20</v>
      </c>
      <c r="I725" s="2" t="s">
        <v>21</v>
      </c>
      <c r="J725" s="2" t="s">
        <v>82</v>
      </c>
      <c r="K725" s="2" t="s">
        <v>115</v>
      </c>
      <c r="L725" s="2" t="s">
        <v>24</v>
      </c>
      <c r="M725" s="2" t="s">
        <v>25</v>
      </c>
      <c r="N725" s="2" t="s">
        <v>37</v>
      </c>
      <c r="O725" s="2" t="s">
        <v>47</v>
      </c>
      <c r="P725" s="2" t="s">
        <v>86</v>
      </c>
      <c r="Q725" s="2" t="s">
        <v>687</v>
      </c>
    </row>
    <row r="726" spans="1:17">
      <c r="A726" s="2" t="s">
        <v>1036</v>
      </c>
      <c r="B726" s="2" t="str">
        <f>[1]Sheet1!M726</f>
        <v>男</v>
      </c>
      <c r="C726" s="3" t="str" cm="1">
        <f t="array" ref="C7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26" s="2" t="str">
        <f>MID([1]Sheet1!F726,FIND("(",[1]Sheet1!F726)+1,FIND("-",[1]Sheet1!F726)-FIND("(",[1]Sheet1!F726)-1)</f>
        <v>甘肃</v>
      </c>
      <c r="E726" s="2" t="str">
        <f>MID([1]Sheet1!F726,FIND("-",[1]Sheet1!F726)+1,FIND(")",[1]Sheet1!F726)-FIND("-",[1]Sheet1!F726)-1)</f>
        <v>兰州</v>
      </c>
      <c r="F726" s="2" t="s">
        <v>70</v>
      </c>
      <c r="G726" s="2" t="s">
        <v>162</v>
      </c>
      <c r="H726" s="2" t="s">
        <v>66</v>
      </c>
      <c r="I726" s="2" t="s">
        <v>51</v>
      </c>
      <c r="J726" s="2" t="s">
        <v>82</v>
      </c>
      <c r="K726" s="2" t="s">
        <v>223</v>
      </c>
      <c r="L726" s="2" t="s">
        <v>24</v>
      </c>
      <c r="M726" s="2" t="s">
        <v>143</v>
      </c>
      <c r="N726" s="2" t="s">
        <v>37</v>
      </c>
      <c r="O726" s="2" t="s">
        <v>545</v>
      </c>
      <c r="P726" s="2" t="s">
        <v>39</v>
      </c>
      <c r="Q726" s="2" t="s">
        <v>101</v>
      </c>
    </row>
    <row r="727" spans="1:17">
      <c r="A727" s="2" t="s">
        <v>1037</v>
      </c>
      <c r="B727" s="2" t="str">
        <f>[1]Sheet1!M727</f>
        <v>女</v>
      </c>
      <c r="C727" s="3" t="str" cm="1">
        <f t="array" ref="C7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27" s="2" t="str">
        <f>MID([1]Sheet1!F727,FIND("(",[1]Sheet1!F727)+1,FIND("-",[1]Sheet1!F727)-FIND("(",[1]Sheet1!F727)-1)</f>
        <v>河南</v>
      </c>
      <c r="E727" s="2" t="str">
        <f>MID([1]Sheet1!F727,FIND("-",[1]Sheet1!F727)+1,FIND(")",[1]Sheet1!F727)-FIND("-",[1]Sheet1!F727)-1)</f>
        <v>漯河</v>
      </c>
      <c r="F727" s="2" t="s">
        <v>31</v>
      </c>
      <c r="G727" s="2" t="s">
        <v>32</v>
      </c>
      <c r="H727" s="2" t="s">
        <v>20</v>
      </c>
      <c r="I727" s="2" t="s">
        <v>51</v>
      </c>
      <c r="J727" s="2" t="s">
        <v>44</v>
      </c>
      <c r="K727" s="2" t="s">
        <v>117</v>
      </c>
      <c r="L727" s="2" t="s">
        <v>24</v>
      </c>
      <c r="M727" s="2" t="s">
        <v>84</v>
      </c>
      <c r="N727" s="2" t="s">
        <v>37</v>
      </c>
      <c r="O727" s="2" t="s">
        <v>295</v>
      </c>
      <c r="P727" s="2" t="s">
        <v>59</v>
      </c>
      <c r="Q727" s="2" t="s">
        <v>60</v>
      </c>
    </row>
    <row r="728" spans="1:17">
      <c r="A728" s="2" t="s">
        <v>1038</v>
      </c>
      <c r="B728" s="2" t="str">
        <f>[1]Sheet1!M728</f>
        <v>男</v>
      </c>
      <c r="C728" s="3" t="str" cm="1">
        <f t="array" ref="C7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28" s="2" t="str">
        <f>MID([1]Sheet1!F728,FIND("(",[1]Sheet1!F728)+1,FIND("-",[1]Sheet1!F728)-FIND("(",[1]Sheet1!F728)-1)</f>
        <v>河北</v>
      </c>
      <c r="E728" s="2" t="str">
        <f>MID([1]Sheet1!F728,FIND("-",[1]Sheet1!F728)+1,FIND(")",[1]Sheet1!F728)-FIND("-",[1]Sheet1!F728)-1)</f>
        <v>沧州</v>
      </c>
      <c r="F728" s="2" t="s">
        <v>42</v>
      </c>
      <c r="G728" s="2" t="s">
        <v>50</v>
      </c>
      <c r="H728" s="2" t="s">
        <v>33</v>
      </c>
      <c r="I728" s="2" t="s">
        <v>51</v>
      </c>
      <c r="J728" s="2" t="s">
        <v>77</v>
      </c>
      <c r="K728" s="2" t="s">
        <v>121</v>
      </c>
      <c r="L728" s="2" t="s">
        <v>24</v>
      </c>
      <c r="M728" s="2" t="s">
        <v>78</v>
      </c>
      <c r="N728" s="2" t="s">
        <v>46</v>
      </c>
      <c r="O728" s="2" t="s">
        <v>47</v>
      </c>
      <c r="P728" s="2" t="s">
        <v>39</v>
      </c>
      <c r="Q728" s="2" t="s">
        <v>321</v>
      </c>
    </row>
    <row r="729" spans="1:17">
      <c r="A729" s="2" t="s">
        <v>1039</v>
      </c>
      <c r="B729" s="2" t="str">
        <f>[1]Sheet1!M729</f>
        <v>男</v>
      </c>
      <c r="C729" s="3" t="str" cm="1">
        <f t="array" ref="C7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29" s="2" t="str">
        <f>MID([1]Sheet1!F729,FIND("(",[1]Sheet1!F729)+1,FIND("-",[1]Sheet1!F729)-FIND("(",[1]Sheet1!F729)-1)</f>
        <v>河南</v>
      </c>
      <c r="E729" s="2" t="str">
        <f>MID([1]Sheet1!F729,FIND("-",[1]Sheet1!F729)+1,FIND(")",[1]Sheet1!F729)-FIND("-",[1]Sheet1!F729)-1)</f>
        <v>南阳</v>
      </c>
      <c r="F729" s="2" t="s">
        <v>70</v>
      </c>
      <c r="G729" s="2" t="s">
        <v>114</v>
      </c>
      <c r="H729" s="2" t="s">
        <v>66</v>
      </c>
      <c r="I729" s="2" t="s">
        <v>51</v>
      </c>
      <c r="J729" s="2" t="s">
        <v>77</v>
      </c>
      <c r="K729" s="2" t="s">
        <v>117</v>
      </c>
      <c r="L729" s="2" t="s">
        <v>24</v>
      </c>
      <c r="M729" s="2" t="s">
        <v>143</v>
      </c>
      <c r="N729" s="2" t="s">
        <v>37</v>
      </c>
      <c r="O729" s="2" t="s">
        <v>89</v>
      </c>
      <c r="P729" s="2" t="s">
        <v>39</v>
      </c>
      <c r="Q729" s="2" t="s">
        <v>101</v>
      </c>
    </row>
    <row r="730" spans="1:17">
      <c r="A730" s="2" t="s">
        <v>1039</v>
      </c>
      <c r="B730" s="2" t="str">
        <f>[1]Sheet1!M730</f>
        <v>男</v>
      </c>
      <c r="C730" s="3" t="str" cm="1">
        <f t="array" ref="C7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30" s="2" t="str">
        <f>MID([1]Sheet1!F730,FIND("(",[1]Sheet1!F730)+1,FIND("-",[1]Sheet1!F730)-FIND("(",[1]Sheet1!F730)-1)</f>
        <v>河南</v>
      </c>
      <c r="E730" s="2" t="str">
        <f>MID([1]Sheet1!F730,FIND("-",[1]Sheet1!F730)+1,FIND(")",[1]Sheet1!F730)-FIND("-",[1]Sheet1!F730)-1)</f>
        <v>南阳</v>
      </c>
      <c r="F730" s="2" t="s">
        <v>70</v>
      </c>
      <c r="G730" s="2" t="s">
        <v>32</v>
      </c>
      <c r="H730" s="2" t="s">
        <v>66</v>
      </c>
      <c r="I730" s="2" t="s">
        <v>51</v>
      </c>
      <c r="J730" s="2" t="s">
        <v>77</v>
      </c>
      <c r="K730" s="2" t="s">
        <v>117</v>
      </c>
      <c r="L730" s="2" t="s">
        <v>24</v>
      </c>
      <c r="M730" s="2" t="s">
        <v>143</v>
      </c>
      <c r="N730" s="2" t="s">
        <v>37</v>
      </c>
      <c r="O730" s="2" t="s">
        <v>47</v>
      </c>
      <c r="P730" s="2" t="s">
        <v>39</v>
      </c>
      <c r="Q730" s="2" t="s">
        <v>101</v>
      </c>
    </row>
    <row r="731" spans="1:17">
      <c r="A731" s="2" t="s">
        <v>1040</v>
      </c>
      <c r="B731" s="2" t="str">
        <f>[1]Sheet1!M731</f>
        <v>男</v>
      </c>
      <c r="C731" s="3" t="str" cm="1">
        <f t="array" ref="C7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31" s="2" t="str">
        <f>MID([1]Sheet1!F731,FIND("(",[1]Sheet1!F731)+1,FIND("-",[1]Sheet1!F731)-FIND("(",[1]Sheet1!F731)-1)</f>
        <v>上海</v>
      </c>
      <c r="E731" s="2" t="str">
        <f>MID([1]Sheet1!F731,FIND("-",[1]Sheet1!F731)+1,FIND(")",[1]Sheet1!F731)-FIND("-",[1]Sheet1!F731)-1)</f>
        <v>上海</v>
      </c>
      <c r="F731" s="2" t="s">
        <v>42</v>
      </c>
      <c r="G731" s="2" t="s">
        <v>50</v>
      </c>
      <c r="H731" s="2" t="s">
        <v>55</v>
      </c>
      <c r="I731" s="2" t="s">
        <v>211</v>
      </c>
      <c r="J731" s="2" t="s">
        <v>96</v>
      </c>
      <c r="K731" s="2" t="s">
        <v>121</v>
      </c>
      <c r="L731" s="2" t="s">
        <v>24</v>
      </c>
      <c r="M731" s="2" t="s">
        <v>36</v>
      </c>
      <c r="N731" s="2" t="s">
        <v>26</v>
      </c>
      <c r="O731" s="2" t="s">
        <v>199</v>
      </c>
      <c r="P731" s="2" t="s">
        <v>179</v>
      </c>
      <c r="Q731" s="2" t="s">
        <v>172</v>
      </c>
    </row>
    <row r="732" spans="1:17">
      <c r="A732" s="2" t="s">
        <v>1041</v>
      </c>
      <c r="B732" s="2" t="str">
        <f>[1]Sheet1!M732</f>
        <v>女</v>
      </c>
      <c r="C732" s="3" t="str" cm="1">
        <f t="array" ref="C7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32" s="2" t="str">
        <f>MID([1]Sheet1!F732,FIND("(",[1]Sheet1!F732)+1,FIND("-",[1]Sheet1!F732)-FIND("(",[1]Sheet1!F732)-1)</f>
        <v>广西</v>
      </c>
      <c r="E732" s="2" t="str">
        <f>MID([1]Sheet1!F732,FIND("-",[1]Sheet1!F732)+1,FIND(")",[1]Sheet1!F732)-FIND("-",[1]Sheet1!F732)-1)</f>
        <v>柳州</v>
      </c>
      <c r="F732" s="2" t="s">
        <v>159</v>
      </c>
      <c r="G732" s="2" t="s">
        <v>19</v>
      </c>
      <c r="H732" s="2" t="s">
        <v>20</v>
      </c>
      <c r="I732" s="2" t="s">
        <v>73</v>
      </c>
      <c r="J732" s="2" t="s">
        <v>77</v>
      </c>
      <c r="K732" s="2" t="s">
        <v>130</v>
      </c>
      <c r="L732" s="2" t="s">
        <v>83</v>
      </c>
      <c r="M732" s="2" t="s">
        <v>36</v>
      </c>
      <c r="N732" s="2" t="s">
        <v>46</v>
      </c>
      <c r="O732" s="2" t="s">
        <v>47</v>
      </c>
      <c r="P732" s="2" t="s">
        <v>63</v>
      </c>
      <c r="Q732" s="2" t="s">
        <v>48</v>
      </c>
    </row>
    <row r="733" spans="1:17">
      <c r="A733" s="2" t="s">
        <v>1042</v>
      </c>
      <c r="B733" s="2" t="str">
        <f>[1]Sheet1!M733</f>
        <v>男</v>
      </c>
      <c r="C733" s="3" t="str" cm="1">
        <f t="array" ref="C7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33" s="2" t="str">
        <f>MID([1]Sheet1!F733,FIND("(",[1]Sheet1!F733)+1,FIND("-",[1]Sheet1!F733)-FIND("(",[1]Sheet1!F733)-1)</f>
        <v>湖南</v>
      </c>
      <c r="E733" s="2" t="str">
        <f>MID([1]Sheet1!F733,FIND("-",[1]Sheet1!F733)+1,FIND(")",[1]Sheet1!F733)-FIND("-",[1]Sheet1!F733)-1)</f>
        <v>株洲</v>
      </c>
      <c r="F733" s="2" t="s">
        <v>159</v>
      </c>
      <c r="G733" s="2" t="s">
        <v>19</v>
      </c>
      <c r="H733" s="2" t="s">
        <v>66</v>
      </c>
      <c r="I733" s="2" t="s">
        <v>120</v>
      </c>
      <c r="J733" s="2" t="s">
        <v>96</v>
      </c>
      <c r="K733" s="2" t="s">
        <v>117</v>
      </c>
      <c r="L733" s="2" t="s">
        <v>24</v>
      </c>
      <c r="M733" s="2" t="s">
        <v>459</v>
      </c>
      <c r="N733" s="2" t="s">
        <v>26</v>
      </c>
      <c r="O733" s="2" t="s">
        <v>1007</v>
      </c>
      <c r="P733" s="2" t="s">
        <v>63</v>
      </c>
      <c r="Q733" s="2" t="s">
        <v>1043</v>
      </c>
    </row>
    <row r="734" spans="1:17">
      <c r="A734" s="2" t="s">
        <v>1044</v>
      </c>
      <c r="B734" s="2" t="str">
        <f>[1]Sheet1!M734</f>
        <v>男</v>
      </c>
      <c r="C734" s="3" t="str" cm="1">
        <f t="array" ref="C7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34" s="2" t="str">
        <f>MID([1]Sheet1!F734,FIND("(",[1]Sheet1!F734)+1,FIND("-",[1]Sheet1!F734)-FIND("(",[1]Sheet1!F734)-1)</f>
        <v>河南</v>
      </c>
      <c r="E734" s="2" t="str">
        <f>MID([1]Sheet1!F734,FIND("-",[1]Sheet1!F734)+1,FIND(")",[1]Sheet1!F734)-FIND("-",[1]Sheet1!F734)-1)</f>
        <v>洛阳</v>
      </c>
      <c r="F734" s="2" t="s">
        <v>42</v>
      </c>
      <c r="G734" s="2" t="s">
        <v>50</v>
      </c>
      <c r="H734" s="2" t="s">
        <v>66</v>
      </c>
      <c r="I734" s="2" t="s">
        <v>21</v>
      </c>
      <c r="J734" s="2" t="s">
        <v>82</v>
      </c>
      <c r="K734" s="2" t="s">
        <v>121</v>
      </c>
      <c r="L734" s="2" t="s">
        <v>83</v>
      </c>
      <c r="M734" s="2" t="s">
        <v>111</v>
      </c>
      <c r="N734" s="2" t="s">
        <v>46</v>
      </c>
      <c r="O734" s="2" t="s">
        <v>47</v>
      </c>
      <c r="P734" s="2" t="s">
        <v>218</v>
      </c>
      <c r="Q734" s="2" t="s">
        <v>40</v>
      </c>
    </row>
    <row r="735" spans="1:17">
      <c r="A735" s="2" t="s">
        <v>1045</v>
      </c>
      <c r="B735" s="2" t="str">
        <f>[1]Sheet1!M735</f>
        <v>男</v>
      </c>
      <c r="C735" s="3" t="str" cm="1">
        <f t="array" ref="C7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35" s="2" t="str">
        <f>MID([1]Sheet1!F735,FIND("(",[1]Sheet1!F735)+1,FIND("-",[1]Sheet1!F735)-FIND("(",[1]Sheet1!F735)-1)</f>
        <v>江西</v>
      </c>
      <c r="E735" s="2" t="str">
        <f>MID([1]Sheet1!F735,FIND("-",[1]Sheet1!F735)+1,FIND(")",[1]Sheet1!F735)-FIND("-",[1]Sheet1!F735)-1)</f>
        <v>南昌</v>
      </c>
      <c r="F735" s="2" t="s">
        <v>88</v>
      </c>
      <c r="G735" s="2" t="s">
        <v>32</v>
      </c>
      <c r="H735" s="2" t="s">
        <v>33</v>
      </c>
      <c r="I735" s="2" t="s">
        <v>43</v>
      </c>
      <c r="J735" s="2" t="s">
        <v>22</v>
      </c>
      <c r="K735" s="2" t="s">
        <v>540</v>
      </c>
      <c r="L735" s="2" t="s">
        <v>24</v>
      </c>
      <c r="M735" s="2" t="s">
        <v>36</v>
      </c>
      <c r="N735" s="2" t="s">
        <v>85</v>
      </c>
      <c r="O735" s="2" t="s">
        <v>450</v>
      </c>
      <c r="P735" s="2" t="s">
        <v>39</v>
      </c>
      <c r="Q735" s="2" t="s">
        <v>160</v>
      </c>
    </row>
    <row r="736" spans="1:17">
      <c r="A736" s="2" t="s">
        <v>1046</v>
      </c>
      <c r="B736" s="2" t="str">
        <f>[1]Sheet1!M736</f>
        <v>男</v>
      </c>
      <c r="C736" s="3" t="str" cm="1">
        <f t="array" ref="C7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36" s="2" t="str">
        <f>MID([1]Sheet1!F736,FIND("(",[1]Sheet1!F736)+1,FIND("-",[1]Sheet1!F736)-FIND("(",[1]Sheet1!F736)-1)</f>
        <v>四川</v>
      </c>
      <c r="E736" s="2" t="str">
        <f>MID([1]Sheet1!F736,FIND("-",[1]Sheet1!F736)+1,FIND(")",[1]Sheet1!F736)-FIND("-",[1]Sheet1!F736)-1)</f>
        <v>成都</v>
      </c>
      <c r="F736" s="2" t="s">
        <v>31</v>
      </c>
      <c r="G736" s="2" t="s">
        <v>50</v>
      </c>
      <c r="H736" s="2" t="s">
        <v>66</v>
      </c>
      <c r="I736" s="2" t="s">
        <v>211</v>
      </c>
      <c r="J736" s="2" t="s">
        <v>96</v>
      </c>
      <c r="K736" s="2" t="s">
        <v>117</v>
      </c>
      <c r="L736" s="2" t="s">
        <v>24</v>
      </c>
      <c r="M736" s="2" t="s">
        <v>126</v>
      </c>
      <c r="N736" s="2" t="s">
        <v>85</v>
      </c>
      <c r="O736" s="2" t="s">
        <v>47</v>
      </c>
      <c r="P736" s="2" t="s">
        <v>63</v>
      </c>
      <c r="Q736" s="2" t="s">
        <v>1047</v>
      </c>
    </row>
    <row r="737" spans="1:17">
      <c r="A737" s="2" t="s">
        <v>1048</v>
      </c>
      <c r="B737" s="2" t="str">
        <f>[1]Sheet1!M737</f>
        <v>男</v>
      </c>
      <c r="C737" s="3" t="str" cm="1">
        <f t="array" ref="C7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37" s="2" t="str">
        <f>MID([1]Sheet1!F737,FIND("(",[1]Sheet1!F737)+1,FIND("-",[1]Sheet1!F737)-FIND("(",[1]Sheet1!F737)-1)</f>
        <v>贵州</v>
      </c>
      <c r="E737" s="2" t="str">
        <f>MID([1]Sheet1!F737,FIND("-",[1]Sheet1!F737)+1,FIND(")",[1]Sheet1!F737)-FIND("-",[1]Sheet1!F737)-1)</f>
        <v>遵义</v>
      </c>
      <c r="F737" s="2" t="s">
        <v>42</v>
      </c>
      <c r="G737" s="2" t="s">
        <v>81</v>
      </c>
      <c r="H737" s="2" t="s">
        <v>66</v>
      </c>
      <c r="I737" s="2" t="s">
        <v>51</v>
      </c>
      <c r="J737" s="2" t="s">
        <v>77</v>
      </c>
      <c r="K737" s="2" t="s">
        <v>130</v>
      </c>
      <c r="L737" s="2" t="s">
        <v>24</v>
      </c>
      <c r="M737" s="2" t="s">
        <v>25</v>
      </c>
      <c r="N737" s="2" t="s">
        <v>37</v>
      </c>
      <c r="O737" s="2" t="s">
        <v>199</v>
      </c>
      <c r="P737" s="2" t="s">
        <v>63</v>
      </c>
      <c r="Q737" s="2" t="s">
        <v>348</v>
      </c>
    </row>
    <row r="738" spans="1:17">
      <c r="A738" s="2" t="s">
        <v>1049</v>
      </c>
      <c r="B738" s="2" t="str">
        <f>[1]Sheet1!M738</f>
        <v>男</v>
      </c>
      <c r="C738" s="3" t="str" cm="1">
        <f t="array" ref="C7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38" s="2" t="str">
        <f>MID([1]Sheet1!F738,FIND("(",[1]Sheet1!F738)+1,FIND("-",[1]Sheet1!F738)-FIND("(",[1]Sheet1!F738)-1)</f>
        <v>吉林</v>
      </c>
      <c r="E738" s="2" t="str">
        <f>MID([1]Sheet1!F738,FIND("-",[1]Sheet1!F738)+1,FIND(")",[1]Sheet1!F738)-FIND("-",[1]Sheet1!F738)-1)</f>
        <v>长春</v>
      </c>
      <c r="F738" s="2" t="s">
        <v>159</v>
      </c>
      <c r="G738" s="2" t="s">
        <v>32</v>
      </c>
      <c r="H738" s="2" t="s">
        <v>66</v>
      </c>
      <c r="I738" s="2" t="s">
        <v>51</v>
      </c>
      <c r="J738" s="2" t="s">
        <v>96</v>
      </c>
      <c r="K738" s="2" t="s">
        <v>130</v>
      </c>
      <c r="L738" s="2" t="s">
        <v>24</v>
      </c>
      <c r="M738" s="2" t="s">
        <v>36</v>
      </c>
      <c r="N738" s="2" t="s">
        <v>26</v>
      </c>
      <c r="O738" s="2" t="s">
        <v>58</v>
      </c>
      <c r="P738" s="2" t="s">
        <v>59</v>
      </c>
      <c r="Q738" s="2" t="s">
        <v>259</v>
      </c>
    </row>
    <row r="739" spans="1:17">
      <c r="A739" s="2" t="s">
        <v>1050</v>
      </c>
      <c r="B739" s="2" t="str">
        <f>[1]Sheet1!M739</f>
        <v>男</v>
      </c>
      <c r="C739" s="3" t="str" cm="1">
        <f t="array" ref="C7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39" s="2" t="str">
        <f>MID([1]Sheet1!F739,FIND("(",[1]Sheet1!F739)+1,FIND("-",[1]Sheet1!F739)-FIND("(",[1]Sheet1!F739)-1)</f>
        <v>广东</v>
      </c>
      <c r="E739" s="2" t="str">
        <f>MID([1]Sheet1!F739,FIND("-",[1]Sheet1!F739)+1,FIND(")",[1]Sheet1!F739)-FIND("-",[1]Sheet1!F739)-1)</f>
        <v>佛山</v>
      </c>
      <c r="F739" s="2" t="s">
        <v>18</v>
      </c>
      <c r="G739" s="2" t="s">
        <v>162</v>
      </c>
      <c r="H739" s="2" t="s">
        <v>33</v>
      </c>
      <c r="I739" s="2" t="s">
        <v>51</v>
      </c>
      <c r="J739" s="2" t="s">
        <v>82</v>
      </c>
      <c r="K739" s="2" t="s">
        <v>125</v>
      </c>
      <c r="L739" s="2" t="s">
        <v>24</v>
      </c>
      <c r="M739" s="2" t="s">
        <v>143</v>
      </c>
      <c r="N739" s="2" t="s">
        <v>37</v>
      </c>
      <c r="O739" s="2" t="s">
        <v>295</v>
      </c>
      <c r="P739" s="2" t="s">
        <v>39</v>
      </c>
      <c r="Q739" s="2" t="s">
        <v>310</v>
      </c>
    </row>
    <row r="740" spans="1:17">
      <c r="A740" s="2" t="s">
        <v>1051</v>
      </c>
      <c r="B740" s="2" t="str">
        <f>[1]Sheet1!M740</f>
        <v>女</v>
      </c>
      <c r="C740" s="3" t="str" cm="1">
        <f t="array" ref="C7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40" s="2" t="str">
        <f>MID([1]Sheet1!F740,FIND("(",[1]Sheet1!F740)+1,FIND("-",[1]Sheet1!F740)-FIND("(",[1]Sheet1!F740)-1)</f>
        <v>天津</v>
      </c>
      <c r="E740" s="2" t="str">
        <f>MID([1]Sheet1!F740,FIND("-",[1]Sheet1!F740)+1,FIND(")",[1]Sheet1!F740)-FIND("-",[1]Sheet1!F740)-1)</f>
        <v>天津</v>
      </c>
      <c r="F740" s="2" t="s">
        <v>31</v>
      </c>
      <c r="G740" s="2" t="s">
        <v>81</v>
      </c>
      <c r="H740" s="2" t="s">
        <v>66</v>
      </c>
      <c r="I740" s="2" t="s">
        <v>120</v>
      </c>
      <c r="J740" s="2" t="s">
        <v>82</v>
      </c>
      <c r="K740" s="2" t="s">
        <v>412</v>
      </c>
      <c r="L740" s="2" t="s">
        <v>24</v>
      </c>
      <c r="M740" s="2" t="s">
        <v>36</v>
      </c>
      <c r="N740" s="2" t="s">
        <v>37</v>
      </c>
      <c r="O740" s="2" t="s">
        <v>47</v>
      </c>
      <c r="P740" s="2" t="s">
        <v>39</v>
      </c>
      <c r="Q740" s="2" t="s">
        <v>310</v>
      </c>
    </row>
    <row r="741" spans="1:17">
      <c r="A741" s="2" t="s">
        <v>234</v>
      </c>
      <c r="B741" s="2" t="str">
        <f>[1]Sheet1!M741</f>
        <v>男</v>
      </c>
      <c r="C741" s="3" t="str" cm="1">
        <f t="array" ref="C7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41" s="2" t="str">
        <f>MID([1]Sheet1!F741,FIND("(",[1]Sheet1!F741)+1,FIND("-",[1]Sheet1!F741)-FIND("(",[1]Sheet1!F741)-1)</f>
        <v>广东</v>
      </c>
      <c r="E741" s="2" t="str">
        <f>MID([1]Sheet1!F741,FIND("-",[1]Sheet1!F741)+1,FIND(")",[1]Sheet1!F741)-FIND("-",[1]Sheet1!F741)-1)</f>
        <v>中山</v>
      </c>
      <c r="F741" s="2" t="s">
        <v>42</v>
      </c>
      <c r="G741" s="2" t="s">
        <v>19</v>
      </c>
      <c r="H741" s="2" t="s">
        <v>20</v>
      </c>
      <c r="I741" s="2" t="s">
        <v>34</v>
      </c>
      <c r="J741" s="2" t="s">
        <v>82</v>
      </c>
      <c r="K741" s="2" t="s">
        <v>372</v>
      </c>
      <c r="L741" s="2" t="s">
        <v>24</v>
      </c>
      <c r="M741" s="2" t="s">
        <v>78</v>
      </c>
      <c r="N741" s="2" t="s">
        <v>26</v>
      </c>
      <c r="O741" s="2" t="s">
        <v>27</v>
      </c>
      <c r="P741" s="2" t="s">
        <v>175</v>
      </c>
      <c r="Q741" s="2" t="s">
        <v>48</v>
      </c>
    </row>
    <row r="742" spans="1:17">
      <c r="A742" s="2" t="s">
        <v>1052</v>
      </c>
      <c r="B742" s="2" t="str">
        <f>[1]Sheet1!M742</f>
        <v>男</v>
      </c>
      <c r="C742" s="3" t="str" cm="1">
        <f t="array" ref="C7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42" s="2" t="str">
        <f>MID([1]Sheet1!F742,FIND("(",[1]Sheet1!F742)+1,FIND("-",[1]Sheet1!F742)-FIND("(",[1]Sheet1!F742)-1)</f>
        <v>广东</v>
      </c>
      <c r="E742" s="2" t="str">
        <f>MID([1]Sheet1!F742,FIND("-",[1]Sheet1!F742)+1,FIND(")",[1]Sheet1!F742)-FIND("-",[1]Sheet1!F742)-1)</f>
        <v>中山</v>
      </c>
      <c r="F742" s="2" t="s">
        <v>70</v>
      </c>
      <c r="G742" s="2" t="s">
        <v>114</v>
      </c>
      <c r="H742" s="2" t="s">
        <v>66</v>
      </c>
      <c r="I742" s="2" t="s">
        <v>51</v>
      </c>
      <c r="J742" s="2" t="s">
        <v>22</v>
      </c>
      <c r="K742" s="2" t="s">
        <v>1005</v>
      </c>
      <c r="L742" s="2" t="s">
        <v>24</v>
      </c>
      <c r="M742" s="2" t="s">
        <v>25</v>
      </c>
      <c r="N742" s="2" t="s">
        <v>26</v>
      </c>
      <c r="O742" s="2" t="s">
        <v>450</v>
      </c>
      <c r="P742" s="2" t="s">
        <v>39</v>
      </c>
      <c r="Q742" s="2" t="s">
        <v>48</v>
      </c>
    </row>
    <row r="743" spans="1:17">
      <c r="A743" s="2" t="s">
        <v>1053</v>
      </c>
      <c r="B743" s="2" t="str">
        <f>[1]Sheet1!M743</f>
        <v>男</v>
      </c>
      <c r="C743" s="3" t="str" cm="1">
        <f t="array" ref="C7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43" s="2" t="str">
        <f>MID([1]Sheet1!F743,FIND("(",[1]Sheet1!F743)+1,FIND("-",[1]Sheet1!F743)-FIND("(",[1]Sheet1!F743)-1)</f>
        <v>江苏</v>
      </c>
      <c r="E743" s="2" t="str">
        <f>MID([1]Sheet1!F743,FIND("-",[1]Sheet1!F743)+1,FIND(")",[1]Sheet1!F743)-FIND("-",[1]Sheet1!F743)-1)</f>
        <v>镇江</v>
      </c>
      <c r="F743" s="2" t="s">
        <v>18</v>
      </c>
      <c r="G743" s="2" t="s">
        <v>32</v>
      </c>
      <c r="H743" s="2" t="s">
        <v>66</v>
      </c>
      <c r="I743" s="2" t="s">
        <v>51</v>
      </c>
      <c r="J743" s="2" t="s">
        <v>96</v>
      </c>
      <c r="K743" s="2" t="s">
        <v>240</v>
      </c>
      <c r="L743" s="2" t="s">
        <v>24</v>
      </c>
      <c r="M743" s="2" t="s">
        <v>36</v>
      </c>
      <c r="N743" s="2" t="s">
        <v>37</v>
      </c>
      <c r="O743" s="2" t="s">
        <v>199</v>
      </c>
      <c r="P743" s="2" t="s">
        <v>28</v>
      </c>
      <c r="Q743" s="2" t="s">
        <v>172</v>
      </c>
    </row>
    <row r="744" spans="1:17">
      <c r="A744" s="2" t="s">
        <v>1054</v>
      </c>
      <c r="B744" s="2" t="str">
        <f>[1]Sheet1!M744</f>
        <v>男</v>
      </c>
      <c r="C744" s="3" t="str" cm="1">
        <f t="array" ref="C7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44" s="2" t="str">
        <f>MID([1]Sheet1!F744,FIND("(",[1]Sheet1!F744)+1,FIND("-",[1]Sheet1!F744)-FIND("(",[1]Sheet1!F744)-1)</f>
        <v>湖北</v>
      </c>
      <c r="E744" s="2" t="str">
        <f>MID([1]Sheet1!F744,FIND("-",[1]Sheet1!F744)+1,FIND(")",[1]Sheet1!F744)-FIND("-",[1]Sheet1!F744)-1)</f>
        <v>武汉</v>
      </c>
      <c r="F744" s="2" t="s">
        <v>88</v>
      </c>
      <c r="G744" s="2" t="s">
        <v>81</v>
      </c>
      <c r="H744" s="2" t="s">
        <v>55</v>
      </c>
      <c r="I744" s="2" t="s">
        <v>120</v>
      </c>
      <c r="J744" s="2" t="s">
        <v>96</v>
      </c>
      <c r="K744" s="2" t="s">
        <v>130</v>
      </c>
      <c r="L744" s="2" t="s">
        <v>24</v>
      </c>
      <c r="M744" s="2" t="s">
        <v>78</v>
      </c>
      <c r="N744" s="2" t="s">
        <v>37</v>
      </c>
      <c r="O744" s="2" t="s">
        <v>27</v>
      </c>
      <c r="P744" s="2" t="s">
        <v>28</v>
      </c>
      <c r="Q744" s="2" t="s">
        <v>40</v>
      </c>
    </row>
    <row r="745" spans="1:17">
      <c r="A745" s="2" t="s">
        <v>1051</v>
      </c>
      <c r="B745" s="2" t="str">
        <f>[1]Sheet1!M745</f>
        <v>女</v>
      </c>
      <c r="C745" s="3" t="str" cm="1">
        <f t="array" ref="C7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45" s="2" t="str">
        <f>MID([1]Sheet1!F745,FIND("(",[1]Sheet1!F745)+1,FIND("-",[1]Sheet1!F745)-FIND("(",[1]Sheet1!F745)-1)</f>
        <v>天津</v>
      </c>
      <c r="E745" s="2" t="str">
        <f>MID([1]Sheet1!F745,FIND("-",[1]Sheet1!F745)+1,FIND(")",[1]Sheet1!F745)-FIND("-",[1]Sheet1!F745)-1)</f>
        <v>天津</v>
      </c>
      <c r="F745" s="2" t="s">
        <v>31</v>
      </c>
      <c r="G745" s="2" t="s">
        <v>50</v>
      </c>
      <c r="H745" s="2" t="s">
        <v>66</v>
      </c>
      <c r="I745" s="2" t="s">
        <v>120</v>
      </c>
      <c r="J745" s="2" t="s">
        <v>82</v>
      </c>
      <c r="K745" s="2" t="s">
        <v>117</v>
      </c>
      <c r="L745" s="2" t="s">
        <v>24</v>
      </c>
      <c r="M745" s="2" t="s">
        <v>78</v>
      </c>
      <c r="N745" s="2" t="s">
        <v>37</v>
      </c>
      <c r="O745" s="2" t="s">
        <v>204</v>
      </c>
      <c r="P745" s="2" t="s">
        <v>39</v>
      </c>
      <c r="Q745" s="2" t="s">
        <v>310</v>
      </c>
    </row>
    <row r="746" spans="1:17">
      <c r="A746" s="2" t="s">
        <v>1055</v>
      </c>
      <c r="B746" s="2" t="str">
        <f>[1]Sheet1!M746</f>
        <v>女</v>
      </c>
      <c r="C746" s="3" t="str" cm="1">
        <f t="array" ref="C7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46" s="2" t="str">
        <f>MID([1]Sheet1!F746,FIND("(",[1]Sheet1!F746)+1,FIND("-",[1]Sheet1!F746)-FIND("(",[1]Sheet1!F746)-1)</f>
        <v>广东</v>
      </c>
      <c r="E746" s="2" t="str">
        <f>MID([1]Sheet1!F746,FIND("-",[1]Sheet1!F746)+1,FIND(")",[1]Sheet1!F746)-FIND("-",[1]Sheet1!F746)-1)</f>
        <v>佛山</v>
      </c>
      <c r="F746" s="2" t="s">
        <v>18</v>
      </c>
      <c r="G746" s="2" t="s">
        <v>32</v>
      </c>
      <c r="H746" s="2" t="s">
        <v>66</v>
      </c>
      <c r="I746" s="2" t="s">
        <v>21</v>
      </c>
      <c r="J746" s="2" t="s">
        <v>82</v>
      </c>
      <c r="K746" s="2" t="s">
        <v>121</v>
      </c>
      <c r="L746" s="2" t="s">
        <v>83</v>
      </c>
      <c r="M746" s="2" t="s">
        <v>36</v>
      </c>
      <c r="N746" s="2" t="s">
        <v>85</v>
      </c>
      <c r="O746" s="2" t="s">
        <v>47</v>
      </c>
      <c r="P746" s="2" t="s">
        <v>39</v>
      </c>
      <c r="Q746" s="2" t="s">
        <v>48</v>
      </c>
    </row>
    <row r="747" spans="1:17">
      <c r="A747" s="2" t="s">
        <v>1056</v>
      </c>
      <c r="B747" s="2" t="str">
        <f>[1]Sheet1!M747</f>
        <v>男</v>
      </c>
      <c r="C747" s="3" t="str" cm="1">
        <f t="array" ref="C7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47" s="2" t="str">
        <f>MID([1]Sheet1!F747,FIND("(",[1]Sheet1!F747)+1,FIND("-",[1]Sheet1!F747)-FIND("(",[1]Sheet1!F747)-1)</f>
        <v>湖南</v>
      </c>
      <c r="E747" s="2" t="str">
        <f>MID([1]Sheet1!F747,FIND("-",[1]Sheet1!F747)+1,FIND(")",[1]Sheet1!F747)-FIND("-",[1]Sheet1!F747)-1)</f>
        <v>湘潭</v>
      </c>
      <c r="F747" s="2" t="s">
        <v>31</v>
      </c>
      <c r="G747" s="2" t="s">
        <v>50</v>
      </c>
      <c r="H747" s="2" t="s">
        <v>66</v>
      </c>
      <c r="I747" s="2" t="s">
        <v>73</v>
      </c>
      <c r="J747" s="2" t="s">
        <v>44</v>
      </c>
      <c r="K747" s="2" t="s">
        <v>169</v>
      </c>
      <c r="L747" s="2" t="s">
        <v>24</v>
      </c>
      <c r="M747" s="2" t="s">
        <v>36</v>
      </c>
      <c r="N747" s="2" t="s">
        <v>37</v>
      </c>
      <c r="O747" s="2" t="s">
        <v>27</v>
      </c>
      <c r="P747" s="2" t="s">
        <v>39</v>
      </c>
      <c r="Q747" s="2" t="s">
        <v>645</v>
      </c>
    </row>
    <row r="748" spans="1:17">
      <c r="A748" s="2" t="s">
        <v>1057</v>
      </c>
      <c r="B748" s="2" t="str">
        <f>[1]Sheet1!M748</f>
        <v>男</v>
      </c>
      <c r="C748" s="3" t="str" cm="1">
        <f t="array" ref="C7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48" s="2" t="str">
        <f>MID([1]Sheet1!F748,FIND("(",[1]Sheet1!F748)+1,FIND("-",[1]Sheet1!F748)-FIND("(",[1]Sheet1!F748)-1)</f>
        <v>山东</v>
      </c>
      <c r="E748" s="2" t="str">
        <f>MID([1]Sheet1!F748,FIND("-",[1]Sheet1!F748)+1,FIND(")",[1]Sheet1!F748)-FIND("-",[1]Sheet1!F748)-1)</f>
        <v>临沂</v>
      </c>
      <c r="F748" s="2" t="s">
        <v>31</v>
      </c>
      <c r="G748" s="2" t="s">
        <v>50</v>
      </c>
      <c r="H748" s="2" t="s">
        <v>20</v>
      </c>
      <c r="I748" s="2" t="s">
        <v>51</v>
      </c>
      <c r="J748" s="2" t="s">
        <v>77</v>
      </c>
      <c r="K748" s="2" t="s">
        <v>115</v>
      </c>
      <c r="L748" s="2" t="s">
        <v>24</v>
      </c>
      <c r="M748" s="2" t="s">
        <v>92</v>
      </c>
      <c r="N748" s="2" t="s">
        <v>37</v>
      </c>
      <c r="O748" s="2" t="s">
        <v>47</v>
      </c>
      <c r="P748" s="2" t="s">
        <v>28</v>
      </c>
      <c r="Q748" s="2" t="s">
        <v>172</v>
      </c>
    </row>
    <row r="749" spans="1:17">
      <c r="A749" s="2" t="s">
        <v>1058</v>
      </c>
      <c r="B749" s="2" t="str">
        <f>[1]Sheet1!M749</f>
        <v>男</v>
      </c>
      <c r="C749" s="3" t="str" cm="1">
        <f t="array" ref="C7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49" s="2" t="str">
        <f>MID([1]Sheet1!F749,FIND("(",[1]Sheet1!F749)+1,FIND("-",[1]Sheet1!F749)-FIND("(",[1]Sheet1!F749)-1)</f>
        <v>湖南</v>
      </c>
      <c r="E749" s="2" t="str">
        <f>MID([1]Sheet1!F749,FIND("-",[1]Sheet1!F749)+1,FIND(")",[1]Sheet1!F749)-FIND("-",[1]Sheet1!F749)-1)</f>
        <v>长沙</v>
      </c>
      <c r="F749" s="2" t="s">
        <v>42</v>
      </c>
      <c r="G749" s="2" t="s">
        <v>81</v>
      </c>
      <c r="H749" s="2" t="s">
        <v>66</v>
      </c>
      <c r="I749" s="2" t="s">
        <v>51</v>
      </c>
      <c r="J749" s="2" t="s">
        <v>96</v>
      </c>
      <c r="K749" s="2" t="s">
        <v>117</v>
      </c>
      <c r="L749" s="2" t="s">
        <v>24</v>
      </c>
      <c r="M749" s="2" t="s">
        <v>25</v>
      </c>
      <c r="N749" s="2" t="s">
        <v>37</v>
      </c>
      <c r="O749" s="2" t="s">
        <v>422</v>
      </c>
      <c r="P749" s="2" t="s">
        <v>28</v>
      </c>
      <c r="Q749" s="2" t="s">
        <v>367</v>
      </c>
    </row>
    <row r="750" spans="1:17">
      <c r="A750" s="2" t="s">
        <v>1058</v>
      </c>
      <c r="B750" s="2" t="str">
        <f>[1]Sheet1!M750</f>
        <v>男</v>
      </c>
      <c r="C750" s="3" t="str" cm="1">
        <f t="array" ref="C7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50" s="2" t="str">
        <f>MID([1]Sheet1!F750,FIND("(",[1]Sheet1!F750)+1,FIND("-",[1]Sheet1!F750)-FIND("(",[1]Sheet1!F750)-1)</f>
        <v>湖南</v>
      </c>
      <c r="E750" s="2" t="str">
        <f>MID([1]Sheet1!F750,FIND("-",[1]Sheet1!F750)+1,FIND(")",[1]Sheet1!F750)-FIND("-",[1]Sheet1!F750)-1)</f>
        <v>长沙</v>
      </c>
      <c r="F750" s="2" t="s">
        <v>42</v>
      </c>
      <c r="G750" s="2" t="s">
        <v>81</v>
      </c>
      <c r="H750" s="2" t="s">
        <v>66</v>
      </c>
      <c r="I750" s="2" t="s">
        <v>51</v>
      </c>
      <c r="J750" s="2" t="s">
        <v>96</v>
      </c>
      <c r="K750" s="2" t="s">
        <v>117</v>
      </c>
      <c r="L750" s="2" t="s">
        <v>24</v>
      </c>
      <c r="M750" s="2" t="s">
        <v>25</v>
      </c>
      <c r="N750" s="2" t="s">
        <v>37</v>
      </c>
      <c r="O750" s="2" t="s">
        <v>422</v>
      </c>
      <c r="P750" s="2" t="s">
        <v>28</v>
      </c>
      <c r="Q750" s="2" t="s">
        <v>141</v>
      </c>
    </row>
    <row r="751" spans="1:17">
      <c r="A751" s="2" t="s">
        <v>1059</v>
      </c>
      <c r="B751" s="2" t="str">
        <f>[1]Sheet1!M751</f>
        <v>男</v>
      </c>
      <c r="C751" s="3" t="str" cm="1">
        <f t="array" ref="C7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51" s="2" t="str">
        <f>MID([1]Sheet1!F751,FIND("(",[1]Sheet1!F751)+1,FIND("-",[1]Sheet1!F751)-FIND("(",[1]Sheet1!F751)-1)</f>
        <v>宁夏</v>
      </c>
      <c r="E751" s="2" t="str">
        <f>MID([1]Sheet1!F751,FIND("-",[1]Sheet1!F751)+1,FIND(")",[1]Sheet1!F751)-FIND("-",[1]Sheet1!F751)-1)</f>
        <v>吴忠</v>
      </c>
      <c r="F751" s="2" t="s">
        <v>42</v>
      </c>
      <c r="G751" s="2" t="s">
        <v>50</v>
      </c>
      <c r="H751" s="2" t="s">
        <v>20</v>
      </c>
      <c r="I751" s="2" t="s">
        <v>21</v>
      </c>
      <c r="J751" s="2" t="s">
        <v>77</v>
      </c>
      <c r="K751" s="2" t="s">
        <v>117</v>
      </c>
      <c r="L751" s="2" t="s">
        <v>83</v>
      </c>
      <c r="M751" s="2" t="s">
        <v>78</v>
      </c>
      <c r="N751" s="2" t="s">
        <v>37</v>
      </c>
      <c r="O751" s="2" t="s">
        <v>27</v>
      </c>
      <c r="P751" s="2" t="s">
        <v>28</v>
      </c>
      <c r="Q751" s="2" t="s">
        <v>150</v>
      </c>
    </row>
    <row r="752" spans="1:17">
      <c r="A752" s="2" t="s">
        <v>1060</v>
      </c>
      <c r="B752" s="2" t="str">
        <f>[1]Sheet1!M752</f>
        <v>男</v>
      </c>
      <c r="C752" s="3" t="str" cm="1">
        <f t="array" ref="C7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2" s="2" t="str">
        <f>MID([1]Sheet1!F752,FIND("(",[1]Sheet1!F752)+1,FIND("-",[1]Sheet1!F752)-FIND("(",[1]Sheet1!F752)-1)</f>
        <v>广东</v>
      </c>
      <c r="E752" s="2" t="str">
        <f>MID([1]Sheet1!F752,FIND("-",[1]Sheet1!F752)+1,FIND(")",[1]Sheet1!F752)-FIND("-",[1]Sheet1!F752)-1)</f>
        <v>揭阳</v>
      </c>
      <c r="F752" s="2" t="s">
        <v>70</v>
      </c>
      <c r="G752" s="2" t="s">
        <v>162</v>
      </c>
      <c r="H752" s="2" t="s">
        <v>20</v>
      </c>
      <c r="I752" s="2" t="s">
        <v>51</v>
      </c>
      <c r="J752" s="2" t="s">
        <v>82</v>
      </c>
      <c r="K752" s="2" t="s">
        <v>240</v>
      </c>
      <c r="L752" s="2" t="s">
        <v>83</v>
      </c>
      <c r="M752" s="2" t="s">
        <v>143</v>
      </c>
      <c r="N752" s="2" t="s">
        <v>85</v>
      </c>
      <c r="O752" s="2" t="s">
        <v>1061</v>
      </c>
      <c r="P752" s="2" t="s">
        <v>86</v>
      </c>
      <c r="Q752" s="2" t="s">
        <v>29</v>
      </c>
    </row>
    <row r="753" spans="1:17">
      <c r="A753" s="2" t="s">
        <v>1062</v>
      </c>
      <c r="B753" s="2" t="str">
        <f>[1]Sheet1!M753</f>
        <v>男</v>
      </c>
      <c r="C753" s="3" t="str" cm="1">
        <f t="array" ref="C7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3" s="2" t="str">
        <f>MID([1]Sheet1!F753,FIND("(",[1]Sheet1!F753)+1,FIND("-",[1]Sheet1!F753)-FIND("(",[1]Sheet1!F753)-1)</f>
        <v>广东</v>
      </c>
      <c r="E753" s="2" t="str">
        <f>MID([1]Sheet1!F753,FIND("-",[1]Sheet1!F753)+1,FIND(")",[1]Sheet1!F753)-FIND("-",[1]Sheet1!F753)-1)</f>
        <v>湛江</v>
      </c>
      <c r="F753" s="2" t="s">
        <v>31</v>
      </c>
      <c r="G753" s="2" t="s">
        <v>50</v>
      </c>
      <c r="H753" s="2" t="s">
        <v>55</v>
      </c>
      <c r="I753" s="2" t="s">
        <v>73</v>
      </c>
      <c r="J753" s="2" t="s">
        <v>96</v>
      </c>
      <c r="K753" s="2" t="s">
        <v>117</v>
      </c>
      <c r="L753" s="2" t="s">
        <v>24</v>
      </c>
      <c r="M753" s="2" t="s">
        <v>36</v>
      </c>
      <c r="N753" s="2" t="s">
        <v>46</v>
      </c>
      <c r="O753" s="2" t="s">
        <v>27</v>
      </c>
      <c r="P753" s="2" t="s">
        <v>28</v>
      </c>
      <c r="Q753" s="2" t="s">
        <v>48</v>
      </c>
    </row>
    <row r="754" spans="1:17">
      <c r="A754" s="2" t="s">
        <v>1063</v>
      </c>
      <c r="B754" s="2" t="str">
        <f>[1]Sheet1!M754</f>
        <v>男</v>
      </c>
      <c r="C754" s="3" t="str" cm="1">
        <f t="array" ref="C7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4" s="2" t="str">
        <f>MID([1]Sheet1!F754,FIND("(",[1]Sheet1!F754)+1,FIND("-",[1]Sheet1!F754)-FIND("(",[1]Sheet1!F754)-1)</f>
        <v>广西</v>
      </c>
      <c r="E754" s="2" t="str">
        <f>MID([1]Sheet1!F754,FIND("-",[1]Sheet1!F754)+1,FIND(")",[1]Sheet1!F754)-FIND("-",[1]Sheet1!F754)-1)</f>
        <v>南宁</v>
      </c>
      <c r="F754" s="2" t="s">
        <v>88</v>
      </c>
      <c r="G754" s="2" t="s">
        <v>50</v>
      </c>
      <c r="H754" s="2" t="s">
        <v>250</v>
      </c>
      <c r="I754" s="2" t="s">
        <v>51</v>
      </c>
      <c r="J754" s="2" t="s">
        <v>56</v>
      </c>
      <c r="K754" s="2" t="s">
        <v>115</v>
      </c>
      <c r="L754" s="2" t="s">
        <v>24</v>
      </c>
      <c r="M754" s="2" t="s">
        <v>36</v>
      </c>
      <c r="N754" s="2" t="s">
        <v>46</v>
      </c>
      <c r="O754" s="2" t="s">
        <v>97</v>
      </c>
      <c r="P754" s="2" t="s">
        <v>86</v>
      </c>
      <c r="Q754" s="2" t="s">
        <v>160</v>
      </c>
    </row>
    <row r="755" spans="1:17">
      <c r="A755" s="2" t="s">
        <v>1064</v>
      </c>
      <c r="B755" s="2" t="str">
        <f>[1]Sheet1!M755</f>
        <v>男</v>
      </c>
      <c r="C755" s="3" t="str" cm="1">
        <f t="array" ref="C7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5" s="2" t="str">
        <f>MID([1]Sheet1!F755,FIND("(",[1]Sheet1!F755)+1,FIND("-",[1]Sheet1!F755)-FIND("(",[1]Sheet1!F755)-1)</f>
        <v>广东</v>
      </c>
      <c r="E755" s="2" t="str">
        <f>MID([1]Sheet1!F755,FIND("-",[1]Sheet1!F755)+1,FIND(")",[1]Sheet1!F755)-FIND("-",[1]Sheet1!F755)-1)</f>
        <v>茂名</v>
      </c>
      <c r="F755" s="2" t="s">
        <v>18</v>
      </c>
      <c r="G755" s="2" t="s">
        <v>162</v>
      </c>
      <c r="H755" s="2" t="s">
        <v>66</v>
      </c>
      <c r="I755" s="2" t="s">
        <v>43</v>
      </c>
      <c r="J755" s="2" t="s">
        <v>82</v>
      </c>
      <c r="K755" s="2" t="s">
        <v>130</v>
      </c>
      <c r="L755" s="2" t="s">
        <v>83</v>
      </c>
      <c r="M755" s="2" t="s">
        <v>143</v>
      </c>
      <c r="N755" s="2" t="s">
        <v>37</v>
      </c>
      <c r="O755" s="2" t="s">
        <v>58</v>
      </c>
      <c r="P755" s="2" t="s">
        <v>218</v>
      </c>
      <c r="Q755" s="2" t="s">
        <v>75</v>
      </c>
    </row>
    <row r="756" spans="1:17">
      <c r="A756" s="2" t="s">
        <v>1065</v>
      </c>
      <c r="B756" s="2" t="str">
        <f>[1]Sheet1!M756</f>
        <v>男</v>
      </c>
      <c r="C756" s="3" t="str" cm="1">
        <f t="array" ref="C7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6" s="2" t="str">
        <f>MID([1]Sheet1!F756,FIND("(",[1]Sheet1!F756)+1,FIND("-",[1]Sheet1!F756)-FIND("(",[1]Sheet1!F756)-1)</f>
        <v>广西</v>
      </c>
      <c r="E756" s="2" t="str">
        <f>MID([1]Sheet1!F756,FIND("-",[1]Sheet1!F756)+1,FIND(")",[1]Sheet1!F756)-FIND("-",[1]Sheet1!F756)-1)</f>
        <v>南宁</v>
      </c>
      <c r="F756" s="2" t="s">
        <v>31</v>
      </c>
      <c r="G756" s="2" t="s">
        <v>81</v>
      </c>
      <c r="H756" s="2" t="s">
        <v>66</v>
      </c>
      <c r="I756" s="2" t="s">
        <v>43</v>
      </c>
      <c r="J756" s="2" t="s">
        <v>56</v>
      </c>
      <c r="K756" s="2" t="s">
        <v>385</v>
      </c>
      <c r="L756" s="2" t="s">
        <v>24</v>
      </c>
      <c r="M756" s="2" t="s">
        <v>36</v>
      </c>
      <c r="N756" s="2" t="s">
        <v>46</v>
      </c>
      <c r="O756" s="2" t="s">
        <v>58</v>
      </c>
      <c r="P756" s="2" t="s">
        <v>28</v>
      </c>
      <c r="Q756" s="2" t="s">
        <v>400</v>
      </c>
    </row>
    <row r="757" spans="1:17">
      <c r="A757" s="2" t="s">
        <v>1066</v>
      </c>
      <c r="B757" s="2" t="str">
        <f>[1]Sheet1!M757</f>
        <v>男</v>
      </c>
      <c r="C757" s="3" t="str" cm="1">
        <f t="array" ref="C7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57" s="2" t="str">
        <f>MID([1]Sheet1!F757,FIND("(",[1]Sheet1!F757)+1,FIND("-",[1]Sheet1!F757)-FIND("(",[1]Sheet1!F757)-1)</f>
        <v>广西</v>
      </c>
      <c r="E757" s="2" t="str">
        <f>MID([1]Sheet1!F757,FIND("-",[1]Sheet1!F757)+1,FIND(")",[1]Sheet1!F757)-FIND("-",[1]Sheet1!F757)-1)</f>
        <v>南宁</v>
      </c>
      <c r="F757" s="2" t="s">
        <v>42</v>
      </c>
      <c r="G757" s="2" t="s">
        <v>19</v>
      </c>
      <c r="H757" s="2" t="s">
        <v>66</v>
      </c>
      <c r="I757" s="2" t="s">
        <v>73</v>
      </c>
      <c r="J757" s="2" t="s">
        <v>82</v>
      </c>
      <c r="K757" s="2" t="s">
        <v>223</v>
      </c>
      <c r="L757" s="2" t="s">
        <v>24</v>
      </c>
      <c r="M757" s="2" t="s">
        <v>78</v>
      </c>
      <c r="N757" s="2" t="s">
        <v>37</v>
      </c>
      <c r="O757" s="2" t="s">
        <v>47</v>
      </c>
      <c r="P757" s="2" t="s">
        <v>39</v>
      </c>
      <c r="Q757" s="2" t="s">
        <v>183</v>
      </c>
    </row>
    <row r="758" spans="1:17">
      <c r="A758" s="2" t="s">
        <v>1067</v>
      </c>
      <c r="B758" s="2" t="str">
        <f>[1]Sheet1!M758</f>
        <v>男</v>
      </c>
      <c r="C758" s="3" t="str" cm="1">
        <f t="array" ref="C7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58" s="2" t="str">
        <f>MID([1]Sheet1!F758,FIND("(",[1]Sheet1!F758)+1,FIND("-",[1]Sheet1!F758)-FIND("(",[1]Sheet1!F758)-1)</f>
        <v>山东</v>
      </c>
      <c r="E758" s="2" t="str">
        <f>MID([1]Sheet1!F758,FIND("-",[1]Sheet1!F758)+1,FIND(")",[1]Sheet1!F758)-FIND("-",[1]Sheet1!F758)-1)</f>
        <v>枣庄</v>
      </c>
      <c r="F758" s="2" t="s">
        <v>42</v>
      </c>
      <c r="G758" s="2" t="s">
        <v>114</v>
      </c>
      <c r="H758" s="2" t="s">
        <v>20</v>
      </c>
      <c r="I758" s="2" t="s">
        <v>51</v>
      </c>
      <c r="J758" s="2" t="s">
        <v>96</v>
      </c>
      <c r="K758" s="2" t="s">
        <v>117</v>
      </c>
      <c r="L758" s="2" t="s">
        <v>24</v>
      </c>
      <c r="M758" s="2" t="s">
        <v>143</v>
      </c>
      <c r="N758" s="2" t="s">
        <v>37</v>
      </c>
      <c r="O758" s="2" t="s">
        <v>47</v>
      </c>
      <c r="P758" s="2" t="s">
        <v>86</v>
      </c>
      <c r="Q758" s="2" t="s">
        <v>883</v>
      </c>
    </row>
    <row r="759" spans="1:17">
      <c r="A759" s="2" t="s">
        <v>1068</v>
      </c>
      <c r="B759" s="2" t="str">
        <f>[1]Sheet1!M759</f>
        <v>男</v>
      </c>
      <c r="C759" s="3" t="str" cm="1">
        <f t="array" ref="C7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59" s="2" t="str">
        <f>MID([1]Sheet1!F759,FIND("(",[1]Sheet1!F759)+1,FIND("-",[1]Sheet1!F759)-FIND("(",[1]Sheet1!F759)-1)</f>
        <v>江苏</v>
      </c>
      <c r="E759" s="2" t="str">
        <f>MID([1]Sheet1!F759,FIND("-",[1]Sheet1!F759)+1,FIND(")",[1]Sheet1!F759)-FIND("-",[1]Sheet1!F759)-1)</f>
        <v>南京</v>
      </c>
      <c r="F759" s="2" t="s">
        <v>159</v>
      </c>
      <c r="G759" s="2" t="s">
        <v>81</v>
      </c>
      <c r="H759" s="2" t="s">
        <v>66</v>
      </c>
      <c r="I759" s="2" t="s">
        <v>51</v>
      </c>
      <c r="J759" s="2" t="s">
        <v>96</v>
      </c>
      <c r="K759" s="2" t="s">
        <v>121</v>
      </c>
      <c r="L759" s="2" t="s">
        <v>24</v>
      </c>
      <c r="M759" s="2" t="s">
        <v>126</v>
      </c>
      <c r="N759" s="2" t="s">
        <v>85</v>
      </c>
      <c r="O759" s="2" t="s">
        <v>89</v>
      </c>
      <c r="P759" s="2" t="s">
        <v>28</v>
      </c>
      <c r="Q759" s="2" t="s">
        <v>298</v>
      </c>
    </row>
    <row r="760" spans="1:17">
      <c r="A760" s="2" t="s">
        <v>1069</v>
      </c>
      <c r="B760" s="2" t="str">
        <f>[1]Sheet1!M760</f>
        <v>女</v>
      </c>
      <c r="C760" s="3" t="str" cm="1">
        <f t="array" ref="C7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60" s="2" t="str">
        <f>MID([1]Sheet1!F760,FIND("(",[1]Sheet1!F760)+1,FIND("-",[1]Sheet1!F760)-FIND("(",[1]Sheet1!F760)-1)</f>
        <v>河南</v>
      </c>
      <c r="E760" s="2" t="str">
        <f>MID([1]Sheet1!F760,FIND("-",[1]Sheet1!F760)+1,FIND(")",[1]Sheet1!F760)-FIND("-",[1]Sheet1!F760)-1)</f>
        <v>焦作</v>
      </c>
      <c r="F760" s="2" t="s">
        <v>42</v>
      </c>
      <c r="G760" s="2" t="s">
        <v>19</v>
      </c>
      <c r="H760" s="2" t="s">
        <v>33</v>
      </c>
      <c r="I760" s="2" t="s">
        <v>21</v>
      </c>
      <c r="J760" s="2" t="s">
        <v>77</v>
      </c>
      <c r="K760" s="2" t="s">
        <v>117</v>
      </c>
      <c r="L760" s="2" t="s">
        <v>24</v>
      </c>
      <c r="M760" s="2" t="s">
        <v>111</v>
      </c>
      <c r="N760" s="2" t="s">
        <v>26</v>
      </c>
      <c r="O760" s="2" t="s">
        <v>58</v>
      </c>
      <c r="P760" s="2" t="s">
        <v>63</v>
      </c>
      <c r="Q760" s="2" t="s">
        <v>48</v>
      </c>
    </row>
    <row r="761" spans="1:17">
      <c r="A761" s="2" t="s">
        <v>1070</v>
      </c>
      <c r="B761" s="2" t="str">
        <f>[1]Sheet1!M761</f>
        <v>女</v>
      </c>
      <c r="C761" s="3" t="str" cm="1">
        <f t="array" ref="C7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61" s="2" t="str">
        <f>MID([1]Sheet1!F761,FIND("(",[1]Sheet1!F761)+1,FIND("-",[1]Sheet1!F761)-FIND("(",[1]Sheet1!F761)-1)</f>
        <v>安徽</v>
      </c>
      <c r="E761" s="2" t="str">
        <f>MID([1]Sheet1!F761,FIND("-",[1]Sheet1!F761)+1,FIND(")",[1]Sheet1!F761)-FIND("-",[1]Sheet1!F761)-1)</f>
        <v>合肥</v>
      </c>
      <c r="F761" s="2" t="s">
        <v>70</v>
      </c>
      <c r="G761" s="2" t="s">
        <v>50</v>
      </c>
      <c r="H761" s="2" t="s">
        <v>20</v>
      </c>
      <c r="I761" s="2" t="s">
        <v>51</v>
      </c>
      <c r="J761" s="2" t="s">
        <v>77</v>
      </c>
      <c r="K761" s="2" t="s">
        <v>240</v>
      </c>
      <c r="L761" s="2" t="s">
        <v>24</v>
      </c>
      <c r="M761" s="2" t="s">
        <v>126</v>
      </c>
      <c r="N761" s="2" t="s">
        <v>85</v>
      </c>
      <c r="O761" s="2" t="s">
        <v>47</v>
      </c>
      <c r="P761" s="2" t="s">
        <v>28</v>
      </c>
      <c r="Q761" s="2" t="s">
        <v>546</v>
      </c>
    </row>
    <row r="762" spans="1:17">
      <c r="A762" s="2" t="s">
        <v>1071</v>
      </c>
      <c r="B762" s="2" t="str">
        <f>[1]Sheet1!M762</f>
        <v>男</v>
      </c>
      <c r="C762" s="3" t="str" cm="1">
        <f t="array" ref="C7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62" s="2" t="str">
        <f>MID([1]Sheet1!F762,FIND("(",[1]Sheet1!F762)+1,FIND("-",[1]Sheet1!F762)-FIND("(",[1]Sheet1!F762)-1)</f>
        <v>湖北</v>
      </c>
      <c r="E762" s="2" t="str">
        <f>MID([1]Sheet1!F762,FIND("-",[1]Sheet1!F762)+1,FIND(")",[1]Sheet1!F762)-FIND("-",[1]Sheet1!F762)-1)</f>
        <v>襄阳</v>
      </c>
      <c r="F762" s="2" t="s">
        <v>159</v>
      </c>
      <c r="G762" s="2" t="s">
        <v>50</v>
      </c>
      <c r="H762" s="2" t="s">
        <v>66</v>
      </c>
      <c r="I762" s="2" t="s">
        <v>43</v>
      </c>
      <c r="J762" s="2" t="s">
        <v>56</v>
      </c>
      <c r="K762" s="2" t="s">
        <v>130</v>
      </c>
      <c r="L762" s="2" t="s">
        <v>24</v>
      </c>
      <c r="M762" s="2" t="s">
        <v>143</v>
      </c>
      <c r="N762" s="2" t="s">
        <v>26</v>
      </c>
      <c r="O762" s="2" t="s">
        <v>235</v>
      </c>
      <c r="P762" s="2" t="s">
        <v>86</v>
      </c>
      <c r="Q762" s="2" t="s">
        <v>200</v>
      </c>
    </row>
    <row r="763" spans="1:17">
      <c r="A763" s="2" t="s">
        <v>1056</v>
      </c>
      <c r="B763" s="2" t="str">
        <f>[1]Sheet1!M763</f>
        <v>男</v>
      </c>
      <c r="C763" s="3" t="str" cm="1">
        <f t="array" ref="C7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63" s="2" t="str">
        <f>MID([1]Sheet1!F763,FIND("(",[1]Sheet1!F763)+1,FIND("-",[1]Sheet1!F763)-FIND("(",[1]Sheet1!F763)-1)</f>
        <v>广东</v>
      </c>
      <c r="E763" s="2" t="str">
        <f>MID([1]Sheet1!F763,FIND("-",[1]Sheet1!F763)+1,FIND(")",[1]Sheet1!F763)-FIND("-",[1]Sheet1!F763)-1)</f>
        <v>东莞</v>
      </c>
      <c r="F763" s="2" t="s">
        <v>31</v>
      </c>
      <c r="G763" s="2" t="s">
        <v>50</v>
      </c>
      <c r="H763" s="2" t="s">
        <v>66</v>
      </c>
      <c r="I763" s="2" t="s">
        <v>43</v>
      </c>
      <c r="J763" s="2" t="s">
        <v>82</v>
      </c>
      <c r="K763" s="2" t="s">
        <v>117</v>
      </c>
      <c r="L763" s="2" t="s">
        <v>24</v>
      </c>
      <c r="M763" s="2" t="s">
        <v>25</v>
      </c>
      <c r="N763" s="2" t="s">
        <v>37</v>
      </c>
      <c r="O763" s="2" t="s">
        <v>256</v>
      </c>
      <c r="P763" s="2" t="s">
        <v>39</v>
      </c>
      <c r="Q763" s="2" t="s">
        <v>1072</v>
      </c>
    </row>
    <row r="764" spans="1:17">
      <c r="A764" s="2" t="s">
        <v>1073</v>
      </c>
      <c r="B764" s="2" t="str">
        <f>[1]Sheet1!M764</f>
        <v>男</v>
      </c>
      <c r="C764" s="3" t="str" cm="1">
        <f t="array" ref="C7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64" s="2" t="str">
        <f>MID([1]Sheet1!F764,FIND("(",[1]Sheet1!F764)+1,FIND("-",[1]Sheet1!F764)-FIND("(",[1]Sheet1!F764)-1)</f>
        <v>内蒙古</v>
      </c>
      <c r="E764" s="2" t="str">
        <f>MID([1]Sheet1!F764,FIND("-",[1]Sheet1!F764)+1,FIND(")",[1]Sheet1!F764)-FIND("-",[1]Sheet1!F764)-1)</f>
        <v>呼和浩特</v>
      </c>
      <c r="F764" s="2" t="s">
        <v>42</v>
      </c>
      <c r="G764" s="2" t="s">
        <v>50</v>
      </c>
      <c r="H764" s="2" t="s">
        <v>55</v>
      </c>
      <c r="I764" s="2" t="s">
        <v>51</v>
      </c>
      <c r="J764" s="2" t="s">
        <v>96</v>
      </c>
      <c r="K764" s="2" t="s">
        <v>121</v>
      </c>
      <c r="L764" s="2" t="s">
        <v>83</v>
      </c>
      <c r="M764" s="2" t="s">
        <v>36</v>
      </c>
      <c r="N764" s="2" t="s">
        <v>26</v>
      </c>
      <c r="O764" s="2" t="s">
        <v>47</v>
      </c>
      <c r="P764" s="2" t="s">
        <v>218</v>
      </c>
      <c r="Q764" s="2" t="s">
        <v>968</v>
      </c>
    </row>
    <row r="765" spans="1:17">
      <c r="A765" s="2" t="s">
        <v>1074</v>
      </c>
      <c r="B765" s="2" t="str">
        <f>[1]Sheet1!M765</f>
        <v>男</v>
      </c>
      <c r="C765" s="3" t="str" cm="1">
        <f t="array" ref="C7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65" s="2" t="str">
        <f>MID([1]Sheet1!F765,FIND("(",[1]Sheet1!F765)+1,FIND("-",[1]Sheet1!F765)-FIND("(",[1]Sheet1!F765)-1)</f>
        <v>山东</v>
      </c>
      <c r="E765" s="2" t="str">
        <f>MID([1]Sheet1!F765,FIND("-",[1]Sheet1!F765)+1,FIND(")",[1]Sheet1!F765)-FIND("-",[1]Sheet1!F765)-1)</f>
        <v>东营</v>
      </c>
      <c r="F765" s="2" t="s">
        <v>42</v>
      </c>
      <c r="G765" s="2" t="s">
        <v>32</v>
      </c>
      <c r="H765" s="2" t="s">
        <v>66</v>
      </c>
      <c r="I765" s="2" t="s">
        <v>51</v>
      </c>
      <c r="J765" s="2" t="s">
        <v>77</v>
      </c>
      <c r="K765" s="2" t="s">
        <v>115</v>
      </c>
      <c r="L765" s="2" t="s">
        <v>24</v>
      </c>
      <c r="M765" s="2" t="s">
        <v>25</v>
      </c>
      <c r="N765" s="2" t="s">
        <v>37</v>
      </c>
      <c r="O765" s="2" t="s">
        <v>47</v>
      </c>
      <c r="P765" s="2" t="s">
        <v>59</v>
      </c>
      <c r="Q765" s="2" t="s">
        <v>269</v>
      </c>
    </row>
    <row r="766" spans="1:17">
      <c r="A766" s="2" t="s">
        <v>1075</v>
      </c>
      <c r="B766" s="2" t="str">
        <f>[1]Sheet1!M766</f>
        <v>男</v>
      </c>
      <c r="C766" s="3" t="str" cm="1">
        <f t="array" ref="C7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66" s="2" t="str">
        <f>MID([1]Sheet1!F766,FIND("(",[1]Sheet1!F766)+1,FIND("-",[1]Sheet1!F766)-FIND("(",[1]Sheet1!F766)-1)</f>
        <v>青海</v>
      </c>
      <c r="E766" s="2" t="str">
        <f>MID([1]Sheet1!F766,FIND("-",[1]Sheet1!F766)+1,FIND(")",[1]Sheet1!F766)-FIND("-",[1]Sheet1!F766)-1)</f>
        <v>西宁</v>
      </c>
      <c r="F766" s="2" t="s">
        <v>31</v>
      </c>
      <c r="G766" s="2" t="s">
        <v>81</v>
      </c>
      <c r="H766" s="2" t="s">
        <v>20</v>
      </c>
      <c r="I766" s="2" t="s">
        <v>21</v>
      </c>
      <c r="J766" s="2" t="s">
        <v>77</v>
      </c>
      <c r="K766" s="2" t="s">
        <v>115</v>
      </c>
      <c r="L766" s="2" t="s">
        <v>24</v>
      </c>
      <c r="M766" s="2" t="s">
        <v>716</v>
      </c>
      <c r="N766" s="2" t="s">
        <v>46</v>
      </c>
      <c r="O766" s="2" t="s">
        <v>47</v>
      </c>
      <c r="P766" s="2" t="s">
        <v>39</v>
      </c>
      <c r="Q766" s="2" t="s">
        <v>133</v>
      </c>
    </row>
    <row r="767" spans="1:17">
      <c r="A767" s="2" t="s">
        <v>1076</v>
      </c>
      <c r="B767" s="2" t="str">
        <f>[1]Sheet1!M767</f>
        <v>男</v>
      </c>
      <c r="C767" s="3" t="str" cm="1">
        <f t="array" ref="C7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67" s="2" t="str">
        <f>MID([1]Sheet1!F767,FIND("(",[1]Sheet1!F767)+1,FIND("-",[1]Sheet1!F767)-FIND("(",[1]Sheet1!F767)-1)</f>
        <v>河南</v>
      </c>
      <c r="E767" s="2" t="str">
        <f>MID([1]Sheet1!F767,FIND("-",[1]Sheet1!F767)+1,FIND(")",[1]Sheet1!F767)-FIND("-",[1]Sheet1!F767)-1)</f>
        <v>焦作</v>
      </c>
      <c r="F767" s="2" t="s">
        <v>31</v>
      </c>
      <c r="G767" s="2" t="s">
        <v>81</v>
      </c>
      <c r="H767" s="2" t="s">
        <v>66</v>
      </c>
      <c r="I767" s="2" t="s">
        <v>43</v>
      </c>
      <c r="J767" s="2" t="s">
        <v>82</v>
      </c>
      <c r="K767" s="2" t="s">
        <v>130</v>
      </c>
      <c r="L767" s="2" t="s">
        <v>24</v>
      </c>
      <c r="M767" s="2" t="s">
        <v>71</v>
      </c>
      <c r="N767" s="2" t="s">
        <v>37</v>
      </c>
      <c r="O767" s="2" t="s">
        <v>47</v>
      </c>
      <c r="P767" s="2" t="s">
        <v>86</v>
      </c>
      <c r="Q767" s="2" t="s">
        <v>481</v>
      </c>
    </row>
    <row r="768" spans="1:17">
      <c r="A768" s="2" t="s">
        <v>1077</v>
      </c>
      <c r="B768" s="2" t="str">
        <f>[1]Sheet1!M768</f>
        <v>女</v>
      </c>
      <c r="C768" s="3" t="str" cm="1">
        <f t="array" ref="C7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68" s="2" t="str">
        <f>MID([1]Sheet1!F768,FIND("(",[1]Sheet1!F768)+1,FIND("-",[1]Sheet1!F768)-FIND("(",[1]Sheet1!F768)-1)</f>
        <v>广东</v>
      </c>
      <c r="E768" s="2" t="str">
        <f>MID([1]Sheet1!F768,FIND("-",[1]Sheet1!F768)+1,FIND(")",[1]Sheet1!F768)-FIND("-",[1]Sheet1!F768)-1)</f>
        <v>深圳</v>
      </c>
      <c r="F768" s="2" t="s">
        <v>18</v>
      </c>
      <c r="G768" s="2" t="s">
        <v>114</v>
      </c>
      <c r="H768" s="2" t="s">
        <v>66</v>
      </c>
      <c r="I768" s="2" t="s">
        <v>21</v>
      </c>
      <c r="J768" s="2" t="s">
        <v>82</v>
      </c>
      <c r="K768" s="2" t="s">
        <v>115</v>
      </c>
      <c r="L768" s="2" t="s">
        <v>83</v>
      </c>
      <c r="M768" s="2" t="s">
        <v>25</v>
      </c>
      <c r="N768" s="2" t="s">
        <v>26</v>
      </c>
      <c r="O768" s="2" t="s">
        <v>295</v>
      </c>
      <c r="P768" s="2" t="s">
        <v>28</v>
      </c>
      <c r="Q768" s="2" t="s">
        <v>546</v>
      </c>
    </row>
    <row r="769" spans="1:17">
      <c r="A769" s="2" t="s">
        <v>1078</v>
      </c>
      <c r="B769" s="2" t="str">
        <f>[1]Sheet1!M769</f>
        <v>男</v>
      </c>
      <c r="C769" s="3" t="str" cm="1">
        <f t="array" ref="C7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69" s="2" t="str">
        <f>MID([1]Sheet1!F769,FIND("(",[1]Sheet1!F769)+1,FIND("-",[1]Sheet1!F769)-FIND("(",[1]Sheet1!F769)-1)</f>
        <v>贵州</v>
      </c>
      <c r="E769" s="2" t="str">
        <f>MID([1]Sheet1!F769,FIND("-",[1]Sheet1!F769)+1,FIND(")",[1]Sheet1!F769)-FIND("-",[1]Sheet1!F769)-1)</f>
        <v>黔南</v>
      </c>
      <c r="F769" s="2" t="s">
        <v>70</v>
      </c>
      <c r="G769" s="2" t="s">
        <v>81</v>
      </c>
      <c r="H769" s="2" t="s">
        <v>33</v>
      </c>
      <c r="I769" s="2" t="s">
        <v>21</v>
      </c>
      <c r="J769" s="2" t="s">
        <v>44</v>
      </c>
      <c r="K769" s="2" t="s">
        <v>121</v>
      </c>
      <c r="L769" s="2" t="s">
        <v>83</v>
      </c>
      <c r="M769" s="2" t="s">
        <v>111</v>
      </c>
      <c r="N769" s="2" t="s">
        <v>37</v>
      </c>
      <c r="O769" s="2" t="s">
        <v>47</v>
      </c>
      <c r="P769" s="2" t="s">
        <v>39</v>
      </c>
      <c r="Q769" s="2" t="s">
        <v>1079</v>
      </c>
    </row>
    <row r="770" spans="1:17">
      <c r="A770" s="2" t="s">
        <v>1080</v>
      </c>
      <c r="B770" s="2" t="str">
        <f>[1]Sheet1!M770</f>
        <v>男</v>
      </c>
      <c r="C770" s="3" t="str" cm="1">
        <f t="array" ref="C7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70" s="2" t="str">
        <f>MID([1]Sheet1!F770,FIND("(",[1]Sheet1!F770)+1,FIND("-",[1]Sheet1!F770)-FIND("(",[1]Sheet1!F770)-1)</f>
        <v>广西</v>
      </c>
      <c r="E770" s="2" t="str">
        <f>MID([1]Sheet1!F770,FIND("-",[1]Sheet1!F770)+1,FIND(")",[1]Sheet1!F770)-FIND("-",[1]Sheet1!F770)-1)</f>
        <v>南宁</v>
      </c>
      <c r="F770" s="2" t="s">
        <v>42</v>
      </c>
      <c r="G770" s="2" t="s">
        <v>81</v>
      </c>
      <c r="H770" s="2" t="s">
        <v>66</v>
      </c>
      <c r="I770" s="2" t="s">
        <v>51</v>
      </c>
      <c r="J770" s="2" t="s">
        <v>56</v>
      </c>
      <c r="K770" s="2" t="s">
        <v>117</v>
      </c>
      <c r="L770" s="2" t="s">
        <v>83</v>
      </c>
      <c r="M770" s="2" t="s">
        <v>143</v>
      </c>
      <c r="N770" s="2" t="s">
        <v>37</v>
      </c>
      <c r="O770" s="2" t="s">
        <v>47</v>
      </c>
      <c r="P770" s="2" t="s">
        <v>86</v>
      </c>
      <c r="Q770" s="2" t="s">
        <v>98</v>
      </c>
    </row>
    <row r="771" spans="1:17">
      <c r="A771" s="2" t="s">
        <v>1081</v>
      </c>
      <c r="B771" s="2" t="str">
        <f>[1]Sheet1!M771</f>
        <v>男</v>
      </c>
      <c r="C771" s="3" t="str" cm="1">
        <f t="array" ref="C7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71" s="2" t="str">
        <f>MID([1]Sheet1!F771,FIND("(",[1]Sheet1!F771)+1,FIND("-",[1]Sheet1!F771)-FIND("(",[1]Sheet1!F771)-1)</f>
        <v>广东</v>
      </c>
      <c r="E771" s="2" t="str">
        <f>MID([1]Sheet1!F771,FIND("-",[1]Sheet1!F771)+1,FIND(")",[1]Sheet1!F771)-FIND("-",[1]Sheet1!F771)-1)</f>
        <v>东莞</v>
      </c>
      <c r="F771" s="2" t="s">
        <v>42</v>
      </c>
      <c r="G771" s="2" t="s">
        <v>81</v>
      </c>
      <c r="H771" s="2" t="s">
        <v>33</v>
      </c>
      <c r="I771" s="2" t="s">
        <v>21</v>
      </c>
      <c r="J771" s="2" t="s">
        <v>22</v>
      </c>
      <c r="K771" s="2" t="s">
        <v>121</v>
      </c>
      <c r="L771" s="2" t="s">
        <v>24</v>
      </c>
      <c r="M771" s="2" t="s">
        <v>143</v>
      </c>
      <c r="N771" s="2" t="s">
        <v>26</v>
      </c>
      <c r="O771" s="2" t="s">
        <v>58</v>
      </c>
      <c r="P771" s="2" t="s">
        <v>28</v>
      </c>
      <c r="Q771" s="2" t="s">
        <v>48</v>
      </c>
    </row>
    <row r="772" spans="1:17">
      <c r="A772" s="2" t="s">
        <v>1082</v>
      </c>
      <c r="B772" s="2" t="str">
        <f>[1]Sheet1!M772</f>
        <v>男</v>
      </c>
      <c r="C772" s="3" t="str" cm="1">
        <f t="array" ref="C7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72" s="2" t="str">
        <f>MID([1]Sheet1!F772,FIND("(",[1]Sheet1!F772)+1,FIND("-",[1]Sheet1!F772)-FIND("(",[1]Sheet1!F772)-1)</f>
        <v>山东</v>
      </c>
      <c r="E772" s="2" t="str">
        <f>MID([1]Sheet1!F772,FIND("-",[1]Sheet1!F772)+1,FIND(")",[1]Sheet1!F772)-FIND("-",[1]Sheet1!F772)-1)</f>
        <v>滨州</v>
      </c>
      <c r="F772" s="2" t="s">
        <v>42</v>
      </c>
      <c r="G772" s="2" t="s">
        <v>50</v>
      </c>
      <c r="H772" s="2" t="s">
        <v>66</v>
      </c>
      <c r="I772" s="2" t="s">
        <v>51</v>
      </c>
      <c r="J772" s="2" t="s">
        <v>56</v>
      </c>
      <c r="K772" s="2" t="s">
        <v>121</v>
      </c>
      <c r="L772" s="2" t="s">
        <v>24</v>
      </c>
      <c r="M772" s="2" t="s">
        <v>67</v>
      </c>
      <c r="N772" s="2" t="s">
        <v>37</v>
      </c>
      <c r="O772" s="2" t="s">
        <v>58</v>
      </c>
      <c r="P772" s="2" t="s">
        <v>63</v>
      </c>
      <c r="Q772" s="2" t="s">
        <v>328</v>
      </c>
    </row>
    <row r="773" spans="1:17">
      <c r="A773" s="2" t="s">
        <v>1083</v>
      </c>
      <c r="B773" s="2" t="str">
        <f>[1]Sheet1!M773</f>
        <v>男</v>
      </c>
      <c r="C773" s="3" t="str" cm="1">
        <f t="array" ref="C7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73" s="2" t="str">
        <f>MID([1]Sheet1!F773,FIND("(",[1]Sheet1!F773)+1,FIND("-",[1]Sheet1!F773)-FIND("(",[1]Sheet1!F773)-1)</f>
        <v>江苏</v>
      </c>
      <c r="E773" s="2" t="str">
        <f>MID([1]Sheet1!F773,FIND("-",[1]Sheet1!F773)+1,FIND(")",[1]Sheet1!F773)-FIND("-",[1]Sheet1!F773)-1)</f>
        <v>盐城</v>
      </c>
      <c r="F773" s="2" t="s">
        <v>18</v>
      </c>
      <c r="G773" s="2" t="s">
        <v>32</v>
      </c>
      <c r="H773" s="2" t="s">
        <v>66</v>
      </c>
      <c r="I773" s="2" t="s">
        <v>43</v>
      </c>
      <c r="J773" s="2" t="s">
        <v>82</v>
      </c>
      <c r="K773" s="2" t="s">
        <v>240</v>
      </c>
      <c r="L773" s="2" t="s">
        <v>24</v>
      </c>
      <c r="M773" s="2" t="s">
        <v>36</v>
      </c>
      <c r="N773" s="2" t="s">
        <v>37</v>
      </c>
      <c r="O773" s="2" t="s">
        <v>27</v>
      </c>
      <c r="P773" s="2" t="s">
        <v>28</v>
      </c>
      <c r="Q773" s="2" t="s">
        <v>123</v>
      </c>
    </row>
    <row r="774" spans="1:17">
      <c r="A774" s="2" t="s">
        <v>1084</v>
      </c>
      <c r="B774" s="2" t="str">
        <f>[1]Sheet1!M774</f>
        <v>女</v>
      </c>
      <c r="C774" s="3" t="str" cm="1">
        <f t="array" ref="C7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74" s="2" t="str">
        <f>MID([1]Sheet1!F774,FIND("(",[1]Sheet1!F774)+1,FIND("-",[1]Sheet1!F774)-FIND("(",[1]Sheet1!F774)-1)</f>
        <v>山东</v>
      </c>
      <c r="E774" s="2" t="str">
        <f>MID([1]Sheet1!F774,FIND("-",[1]Sheet1!F774)+1,FIND(")",[1]Sheet1!F774)-FIND("-",[1]Sheet1!F774)-1)</f>
        <v>滨州</v>
      </c>
      <c r="F774" s="2" t="s">
        <v>70</v>
      </c>
      <c r="G774" s="2" t="s">
        <v>32</v>
      </c>
      <c r="H774" s="2" t="s">
        <v>66</v>
      </c>
      <c r="I774" s="2" t="s">
        <v>73</v>
      </c>
      <c r="J774" s="2" t="s">
        <v>44</v>
      </c>
      <c r="K774" s="2" t="s">
        <v>117</v>
      </c>
      <c r="L774" s="2" t="s">
        <v>83</v>
      </c>
      <c r="M774" s="2" t="s">
        <v>36</v>
      </c>
      <c r="N774" s="2" t="s">
        <v>46</v>
      </c>
      <c r="O774" s="2" t="s">
        <v>47</v>
      </c>
      <c r="P774" s="2" t="s">
        <v>179</v>
      </c>
      <c r="Q774" s="2" t="s">
        <v>48</v>
      </c>
    </row>
    <row r="775" spans="1:17">
      <c r="A775" s="2" t="s">
        <v>1085</v>
      </c>
      <c r="B775" s="2" t="str">
        <f>[1]Sheet1!M775</f>
        <v>男</v>
      </c>
      <c r="C775" s="3" t="str" cm="1">
        <f t="array" ref="C7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75" s="2" t="str">
        <f>MID([1]Sheet1!F775,FIND("(",[1]Sheet1!F775)+1,FIND("-",[1]Sheet1!F775)-FIND("(",[1]Sheet1!F775)-1)</f>
        <v>山东</v>
      </c>
      <c r="E775" s="2" t="str">
        <f>MID([1]Sheet1!F775,FIND("-",[1]Sheet1!F775)+1,FIND(")",[1]Sheet1!F775)-FIND("-",[1]Sheet1!F775)-1)</f>
        <v>滨州</v>
      </c>
      <c r="F775" s="2" t="s">
        <v>70</v>
      </c>
      <c r="G775" s="2" t="s">
        <v>32</v>
      </c>
      <c r="H775" s="2" t="s">
        <v>20</v>
      </c>
      <c r="I775" s="2" t="s">
        <v>21</v>
      </c>
      <c r="J775" s="2" t="s">
        <v>77</v>
      </c>
      <c r="K775" s="2" t="s">
        <v>130</v>
      </c>
      <c r="L775" s="2" t="s">
        <v>24</v>
      </c>
      <c r="M775" s="2" t="s">
        <v>143</v>
      </c>
      <c r="N775" s="2" t="s">
        <v>37</v>
      </c>
      <c r="O775" s="2" t="s">
        <v>914</v>
      </c>
      <c r="P775" s="2" t="s">
        <v>39</v>
      </c>
      <c r="Q775" s="2" t="s">
        <v>672</v>
      </c>
    </row>
    <row r="776" spans="1:17">
      <c r="A776" s="2" t="s">
        <v>1086</v>
      </c>
      <c r="B776" s="2" t="str">
        <f>[1]Sheet1!M776</f>
        <v>男</v>
      </c>
      <c r="C776" s="3" t="str" cm="1">
        <f t="array" ref="C7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76" s="2" t="str">
        <f>MID([1]Sheet1!F776,FIND("(",[1]Sheet1!F776)+1,FIND("-",[1]Sheet1!F776)-FIND("(",[1]Sheet1!F776)-1)</f>
        <v>湖南</v>
      </c>
      <c r="E776" s="2" t="str">
        <f>MID([1]Sheet1!F776,FIND("-",[1]Sheet1!F776)+1,FIND(")",[1]Sheet1!F776)-FIND("-",[1]Sheet1!F776)-1)</f>
        <v>娄底</v>
      </c>
      <c r="F776" s="2" t="s">
        <v>70</v>
      </c>
      <c r="G776" s="2" t="s">
        <v>162</v>
      </c>
      <c r="H776" s="2" t="s">
        <v>20</v>
      </c>
      <c r="I776" s="2" t="s">
        <v>51</v>
      </c>
      <c r="J776" s="2" t="s">
        <v>82</v>
      </c>
      <c r="K776" s="2" t="s">
        <v>169</v>
      </c>
      <c r="L776" s="2" t="s">
        <v>83</v>
      </c>
      <c r="M776" s="2" t="s">
        <v>67</v>
      </c>
      <c r="N776" s="2" t="s">
        <v>37</v>
      </c>
      <c r="O776" s="2" t="s">
        <v>204</v>
      </c>
      <c r="P776" s="2" t="s">
        <v>39</v>
      </c>
      <c r="Q776" s="2" t="s">
        <v>1087</v>
      </c>
    </row>
    <row r="777" spans="1:17">
      <c r="A777" s="2" t="s">
        <v>1088</v>
      </c>
      <c r="B777" s="2" t="str">
        <f>[1]Sheet1!M777</f>
        <v>男</v>
      </c>
      <c r="C777" s="3" t="str" cm="1">
        <f t="array" ref="C7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77" s="2" t="str">
        <f>MID([1]Sheet1!F777,FIND("(",[1]Sheet1!F777)+1,FIND("-",[1]Sheet1!F777)-FIND("(",[1]Sheet1!F777)-1)</f>
        <v>广西</v>
      </c>
      <c r="E777" s="2" t="str">
        <f>MID([1]Sheet1!F777,FIND("-",[1]Sheet1!F777)+1,FIND(")",[1]Sheet1!F777)-FIND("-",[1]Sheet1!F777)-1)</f>
        <v>柳州</v>
      </c>
      <c r="F777" s="2" t="s">
        <v>88</v>
      </c>
      <c r="G777" s="2" t="s">
        <v>81</v>
      </c>
      <c r="H777" s="2" t="s">
        <v>66</v>
      </c>
      <c r="I777" s="2" t="s">
        <v>34</v>
      </c>
      <c r="J777" s="2" t="s">
        <v>56</v>
      </c>
      <c r="K777" s="2" t="s">
        <v>117</v>
      </c>
      <c r="L777" s="2" t="s">
        <v>24</v>
      </c>
      <c r="M777" s="2" t="s">
        <v>126</v>
      </c>
      <c r="N777" s="2" t="s">
        <v>46</v>
      </c>
      <c r="O777" s="2" t="s">
        <v>187</v>
      </c>
      <c r="P777" s="2" t="s">
        <v>63</v>
      </c>
      <c r="Q777" s="2" t="s">
        <v>75</v>
      </c>
    </row>
    <row r="778" spans="1:17">
      <c r="A778" s="2" t="s">
        <v>1089</v>
      </c>
      <c r="B778" s="2" t="str">
        <f>[1]Sheet1!M778</f>
        <v>女</v>
      </c>
      <c r="C778" s="3" t="str" cm="1">
        <f t="array" ref="C7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78" s="2" t="str">
        <f>MID([1]Sheet1!F778,FIND("(",[1]Sheet1!F778)+1,FIND("-",[1]Sheet1!F778)-FIND("(",[1]Sheet1!F778)-1)</f>
        <v>天津</v>
      </c>
      <c r="E778" s="2" t="str">
        <f>MID([1]Sheet1!F778,FIND("-",[1]Sheet1!F778)+1,FIND(")",[1]Sheet1!F778)-FIND("-",[1]Sheet1!F778)-1)</f>
        <v>天津</v>
      </c>
      <c r="F778" s="2" t="s">
        <v>31</v>
      </c>
      <c r="G778" s="2" t="s">
        <v>19</v>
      </c>
      <c r="H778" s="2" t="s">
        <v>66</v>
      </c>
      <c r="I778" s="2" t="s">
        <v>21</v>
      </c>
      <c r="J778" s="2" t="s">
        <v>96</v>
      </c>
      <c r="K778" s="2" t="s">
        <v>117</v>
      </c>
      <c r="L778" s="2" t="s">
        <v>83</v>
      </c>
      <c r="M778" s="2" t="s">
        <v>143</v>
      </c>
      <c r="N778" s="2" t="s">
        <v>37</v>
      </c>
      <c r="O778" s="2" t="s">
        <v>89</v>
      </c>
      <c r="P778" s="2" t="s">
        <v>28</v>
      </c>
      <c r="Q778" s="2" t="s">
        <v>103</v>
      </c>
    </row>
    <row r="779" spans="1:17">
      <c r="A779" s="2" t="s">
        <v>1090</v>
      </c>
      <c r="B779" s="2" t="str">
        <f>[1]Sheet1!M779</f>
        <v>女</v>
      </c>
      <c r="C779" s="3" t="str" cm="1">
        <f t="array" ref="C7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779" s="2" t="str">
        <f>MID([1]Sheet1!F779,FIND("(",[1]Sheet1!F779)+1,FIND("-",[1]Sheet1!F779)-FIND("(",[1]Sheet1!F779)-1)</f>
        <v>四川</v>
      </c>
      <c r="E779" s="2" t="str">
        <f>MID([1]Sheet1!F779,FIND("-",[1]Sheet1!F779)+1,FIND(")",[1]Sheet1!F779)-FIND("-",[1]Sheet1!F779)-1)</f>
        <v>宜宾</v>
      </c>
      <c r="F779" s="2" t="s">
        <v>18</v>
      </c>
      <c r="G779" s="2" t="s">
        <v>32</v>
      </c>
      <c r="H779" s="2" t="s">
        <v>66</v>
      </c>
      <c r="I779" s="2" t="s">
        <v>21</v>
      </c>
      <c r="J779" s="2" t="s">
        <v>22</v>
      </c>
      <c r="K779" s="2" t="s">
        <v>117</v>
      </c>
      <c r="L779" s="2" t="s">
        <v>24</v>
      </c>
      <c r="M779" s="2" t="s">
        <v>36</v>
      </c>
      <c r="N779" s="2" t="s">
        <v>37</v>
      </c>
      <c r="O779" s="2" t="s">
        <v>27</v>
      </c>
      <c r="P779" s="2" t="s">
        <v>179</v>
      </c>
      <c r="Q779" s="2" t="s">
        <v>1091</v>
      </c>
    </row>
    <row r="780" spans="1:17">
      <c r="A780" s="2" t="s">
        <v>1092</v>
      </c>
      <c r="B780" s="2" t="str">
        <f>[1]Sheet1!M780</f>
        <v>男</v>
      </c>
      <c r="C780" s="3" t="str" cm="1">
        <f t="array" ref="C7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80" s="2" t="str">
        <f>MID([1]Sheet1!F780,FIND("(",[1]Sheet1!F780)+1,FIND("-",[1]Sheet1!F780)-FIND("(",[1]Sheet1!F780)-1)</f>
        <v>广东</v>
      </c>
      <c r="E780" s="2" t="str">
        <f>MID([1]Sheet1!F780,FIND("-",[1]Sheet1!F780)+1,FIND(")",[1]Sheet1!F780)-FIND("-",[1]Sheet1!F780)-1)</f>
        <v>汕头</v>
      </c>
      <c r="F780" s="2" t="s">
        <v>159</v>
      </c>
      <c r="G780" s="2" t="s">
        <v>81</v>
      </c>
      <c r="H780" s="2" t="s">
        <v>66</v>
      </c>
      <c r="I780" s="2" t="s">
        <v>51</v>
      </c>
      <c r="J780" s="2" t="s">
        <v>22</v>
      </c>
      <c r="K780" s="2" t="s">
        <v>121</v>
      </c>
      <c r="L780" s="2" t="s">
        <v>24</v>
      </c>
      <c r="M780" s="2" t="s">
        <v>84</v>
      </c>
      <c r="N780" s="2" t="s">
        <v>37</v>
      </c>
      <c r="O780" s="2" t="s">
        <v>305</v>
      </c>
      <c r="P780" s="2" t="s">
        <v>175</v>
      </c>
      <c r="Q780" s="2" t="s">
        <v>172</v>
      </c>
    </row>
    <row r="781" spans="1:17">
      <c r="A781" s="2" t="s">
        <v>1093</v>
      </c>
      <c r="B781" s="2" t="str">
        <f>[1]Sheet1!M781</f>
        <v>男</v>
      </c>
      <c r="C781" s="3" t="str" cm="1">
        <f t="array" ref="C7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781" s="2" t="str">
        <f>MID([1]Sheet1!F781,FIND("(",[1]Sheet1!F781)+1,FIND("-",[1]Sheet1!F781)-FIND("(",[1]Sheet1!F781)-1)</f>
        <v>内蒙古</v>
      </c>
      <c r="E781" s="2" t="str">
        <f>MID([1]Sheet1!F781,FIND("-",[1]Sheet1!F781)+1,FIND(")",[1]Sheet1!F781)-FIND("-",[1]Sheet1!F781)-1)</f>
        <v>呼和浩特</v>
      </c>
      <c r="F781" s="2" t="s">
        <v>18</v>
      </c>
      <c r="G781" s="2" t="s">
        <v>162</v>
      </c>
      <c r="H781" s="2" t="s">
        <v>55</v>
      </c>
      <c r="I781" s="2" t="s">
        <v>120</v>
      </c>
      <c r="J781" s="2" t="s">
        <v>56</v>
      </c>
      <c r="K781" s="2" t="s">
        <v>121</v>
      </c>
      <c r="L781" s="2" t="s">
        <v>24</v>
      </c>
      <c r="M781" s="2" t="s">
        <v>111</v>
      </c>
      <c r="N781" s="2" t="s">
        <v>26</v>
      </c>
      <c r="O781" s="2" t="s">
        <v>38</v>
      </c>
      <c r="P781" s="2" t="s">
        <v>175</v>
      </c>
      <c r="Q781" s="2" t="s">
        <v>172</v>
      </c>
    </row>
    <row r="782" spans="1:17">
      <c r="A782" s="2" t="s">
        <v>1094</v>
      </c>
      <c r="B782" s="2" t="str">
        <f>[1]Sheet1!M782</f>
        <v>男</v>
      </c>
      <c r="C782" s="3" t="str" cm="1">
        <f t="array" ref="C7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82" s="2" t="str">
        <f>MID([1]Sheet1!F782,FIND("(",[1]Sheet1!F782)+1,FIND("-",[1]Sheet1!F782)-FIND("(",[1]Sheet1!F782)-1)</f>
        <v>广东</v>
      </c>
      <c r="E782" s="2" t="str">
        <f>MID([1]Sheet1!F782,FIND("-",[1]Sheet1!F782)+1,FIND(")",[1]Sheet1!F782)-FIND("-",[1]Sheet1!F782)-1)</f>
        <v>梅州</v>
      </c>
      <c r="F782" s="2" t="s">
        <v>42</v>
      </c>
      <c r="G782" s="2" t="s">
        <v>81</v>
      </c>
      <c r="H782" s="2" t="s">
        <v>20</v>
      </c>
      <c r="I782" s="2" t="s">
        <v>21</v>
      </c>
      <c r="J782" s="2" t="s">
        <v>22</v>
      </c>
      <c r="K782" s="2" t="s">
        <v>117</v>
      </c>
      <c r="L782" s="2" t="s">
        <v>24</v>
      </c>
      <c r="M782" s="2" t="s">
        <v>143</v>
      </c>
      <c r="N782" s="2" t="s">
        <v>37</v>
      </c>
      <c r="O782" s="2" t="s">
        <v>58</v>
      </c>
      <c r="P782" s="2" t="s">
        <v>39</v>
      </c>
      <c r="Q782" s="2" t="s">
        <v>172</v>
      </c>
    </row>
    <row r="783" spans="1:17">
      <c r="A783" s="2" t="s">
        <v>1095</v>
      </c>
      <c r="B783" s="2" t="str">
        <f>[1]Sheet1!M783</f>
        <v>男</v>
      </c>
      <c r="C783" s="3" t="str" cm="1">
        <f t="array" ref="C7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83" s="2" t="str">
        <f>MID([1]Sheet1!F783,FIND("(",[1]Sheet1!F783)+1,FIND("-",[1]Sheet1!F783)-FIND("(",[1]Sheet1!F783)-1)</f>
        <v>江西</v>
      </c>
      <c r="E783" s="2" t="str">
        <f>MID([1]Sheet1!F783,FIND("-",[1]Sheet1!F783)+1,FIND(")",[1]Sheet1!F783)-FIND("-",[1]Sheet1!F783)-1)</f>
        <v>抚州</v>
      </c>
      <c r="F783" s="2" t="s">
        <v>159</v>
      </c>
      <c r="G783" s="2" t="s">
        <v>50</v>
      </c>
      <c r="H783" s="2" t="s">
        <v>55</v>
      </c>
      <c r="I783" s="2" t="s">
        <v>211</v>
      </c>
      <c r="J783" s="2" t="s">
        <v>56</v>
      </c>
      <c r="K783" s="2" t="s">
        <v>117</v>
      </c>
      <c r="L783" s="2" t="s">
        <v>24</v>
      </c>
      <c r="M783" s="2" t="s">
        <v>36</v>
      </c>
      <c r="N783" s="2" t="s">
        <v>26</v>
      </c>
      <c r="O783" s="2" t="s">
        <v>47</v>
      </c>
      <c r="P783" s="2" t="s">
        <v>63</v>
      </c>
      <c r="Q783" s="2" t="s">
        <v>29</v>
      </c>
    </row>
    <row r="784" spans="1:17">
      <c r="A784" s="2" t="s">
        <v>1096</v>
      </c>
      <c r="B784" s="2" t="str">
        <f>[1]Sheet1!M784</f>
        <v>男</v>
      </c>
      <c r="C784" s="3" t="str" cm="1">
        <f t="array" ref="C7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84" s="2" t="str">
        <f>MID([1]Sheet1!F784,FIND("(",[1]Sheet1!F784)+1,FIND("-",[1]Sheet1!F784)-FIND("(",[1]Sheet1!F784)-1)</f>
        <v>湖南</v>
      </c>
      <c r="E784" s="2" t="str">
        <f>MID([1]Sheet1!F784,FIND("-",[1]Sheet1!F784)+1,FIND(")",[1]Sheet1!F784)-FIND("-",[1]Sheet1!F784)-1)</f>
        <v>株洲</v>
      </c>
      <c r="F784" s="2" t="s">
        <v>159</v>
      </c>
      <c r="G784" s="2" t="s">
        <v>19</v>
      </c>
      <c r="H784" s="2" t="s">
        <v>66</v>
      </c>
      <c r="I784" s="2" t="s">
        <v>51</v>
      </c>
      <c r="J784" s="2" t="s">
        <v>56</v>
      </c>
      <c r="K784" s="2" t="s">
        <v>121</v>
      </c>
      <c r="L784" s="2" t="s">
        <v>24</v>
      </c>
      <c r="M784" s="2" t="s">
        <v>36</v>
      </c>
      <c r="N784" s="2" t="s">
        <v>37</v>
      </c>
      <c r="O784" s="2" t="s">
        <v>47</v>
      </c>
      <c r="P784" s="2" t="s">
        <v>63</v>
      </c>
      <c r="Q784" s="2" t="s">
        <v>1097</v>
      </c>
    </row>
    <row r="785" spans="1:17">
      <c r="A785" s="2" t="s">
        <v>1098</v>
      </c>
      <c r="B785" s="2" t="str">
        <f>[1]Sheet1!M785</f>
        <v>女</v>
      </c>
      <c r="C785" s="3" t="str" cm="1">
        <f t="array" ref="C7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85" s="2" t="str">
        <f>MID([1]Sheet1!F785,FIND("(",[1]Sheet1!F785)+1,FIND("-",[1]Sheet1!F785)-FIND("(",[1]Sheet1!F785)-1)</f>
        <v>天津</v>
      </c>
      <c r="E785" s="2" t="str">
        <f>MID([1]Sheet1!F785,FIND("-",[1]Sheet1!F785)+1,FIND(")",[1]Sheet1!F785)-FIND("-",[1]Sheet1!F785)-1)</f>
        <v>天津</v>
      </c>
      <c r="F785" s="2" t="s">
        <v>31</v>
      </c>
      <c r="G785" s="2" t="s">
        <v>19</v>
      </c>
      <c r="H785" s="2" t="s">
        <v>33</v>
      </c>
      <c r="I785" s="2" t="s">
        <v>51</v>
      </c>
      <c r="J785" s="2" t="s">
        <v>44</v>
      </c>
      <c r="K785" s="2" t="s">
        <v>121</v>
      </c>
      <c r="L785" s="2" t="s">
        <v>24</v>
      </c>
      <c r="M785" s="2" t="s">
        <v>78</v>
      </c>
      <c r="N785" s="2" t="s">
        <v>46</v>
      </c>
      <c r="O785" s="2" t="s">
        <v>27</v>
      </c>
      <c r="P785" s="2" t="s">
        <v>39</v>
      </c>
      <c r="Q785" s="2" t="s">
        <v>40</v>
      </c>
    </row>
    <row r="786" spans="1:17">
      <c r="A786" s="2" t="s">
        <v>1099</v>
      </c>
      <c r="B786" s="2" t="str">
        <f>[1]Sheet1!M786</f>
        <v>男</v>
      </c>
      <c r="C786" s="3" t="str" cm="1">
        <f t="array" ref="C7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786" s="2" t="str">
        <f>MID([1]Sheet1!F786,FIND("(",[1]Sheet1!F786)+1,FIND("-",[1]Sheet1!F786)-FIND("(",[1]Sheet1!F786)-1)</f>
        <v>江苏</v>
      </c>
      <c r="E786" s="2" t="str">
        <f>MID([1]Sheet1!F786,FIND("-",[1]Sheet1!F786)+1,FIND(")",[1]Sheet1!F786)-FIND("-",[1]Sheet1!F786)-1)</f>
        <v>苏州</v>
      </c>
      <c r="F786" s="2" t="s">
        <v>159</v>
      </c>
      <c r="G786" s="2" t="s">
        <v>50</v>
      </c>
      <c r="H786" s="2" t="s">
        <v>20</v>
      </c>
      <c r="I786" s="2" t="s">
        <v>120</v>
      </c>
      <c r="J786" s="2" t="s">
        <v>44</v>
      </c>
      <c r="K786" s="2" t="s">
        <v>115</v>
      </c>
      <c r="L786" s="2" t="s">
        <v>24</v>
      </c>
      <c r="M786" s="2" t="s">
        <v>905</v>
      </c>
      <c r="N786" s="2" t="s">
        <v>37</v>
      </c>
      <c r="O786" s="2" t="s">
        <v>89</v>
      </c>
      <c r="P786" s="2" t="s">
        <v>63</v>
      </c>
      <c r="Q786" s="2" t="s">
        <v>1100</v>
      </c>
    </row>
    <row r="787" spans="1:17">
      <c r="A787" s="2" t="s">
        <v>1101</v>
      </c>
      <c r="B787" s="2" t="str">
        <f>[1]Sheet1!M787</f>
        <v>男</v>
      </c>
      <c r="C787" s="3" t="str" cm="1">
        <f t="array" ref="C7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87" s="2" t="str">
        <f>MID([1]Sheet1!F787,FIND("(",[1]Sheet1!F787)+1,FIND("-",[1]Sheet1!F787)-FIND("(",[1]Sheet1!F787)-1)</f>
        <v>广西</v>
      </c>
      <c r="E787" s="2" t="str">
        <f>MID([1]Sheet1!F787,FIND("-",[1]Sheet1!F787)+1,FIND(")",[1]Sheet1!F787)-FIND("-",[1]Sheet1!F787)-1)</f>
        <v>柳州</v>
      </c>
      <c r="F787" s="2" t="s">
        <v>88</v>
      </c>
      <c r="G787" s="2" t="s">
        <v>81</v>
      </c>
      <c r="H787" s="2" t="s">
        <v>20</v>
      </c>
      <c r="I787" s="2" t="s">
        <v>21</v>
      </c>
      <c r="J787" s="2" t="s">
        <v>77</v>
      </c>
      <c r="K787" s="2" t="s">
        <v>115</v>
      </c>
      <c r="L787" s="2" t="s">
        <v>24</v>
      </c>
      <c r="M787" s="2" t="s">
        <v>78</v>
      </c>
      <c r="N787" s="2" t="s">
        <v>85</v>
      </c>
      <c r="O787" s="2" t="s">
        <v>478</v>
      </c>
      <c r="P787" s="2" t="s">
        <v>39</v>
      </c>
      <c r="Q787" s="2" t="s">
        <v>400</v>
      </c>
    </row>
    <row r="788" spans="1:17">
      <c r="A788" s="2" t="s">
        <v>1102</v>
      </c>
      <c r="B788" s="2" t="str">
        <f>[1]Sheet1!M788</f>
        <v>女</v>
      </c>
      <c r="C788" s="3" t="str" cm="1">
        <f t="array" ref="C7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788" s="2" t="str">
        <f>MID([1]Sheet1!F788,FIND("(",[1]Sheet1!F788)+1,FIND("-",[1]Sheet1!F788)-FIND("(",[1]Sheet1!F788)-1)</f>
        <v>天津</v>
      </c>
      <c r="E788" s="2" t="str">
        <f>MID([1]Sheet1!F788,FIND("-",[1]Sheet1!F788)+1,FIND(")",[1]Sheet1!F788)-FIND("-",[1]Sheet1!F788)-1)</f>
        <v>天津</v>
      </c>
      <c r="F788" s="2" t="s">
        <v>159</v>
      </c>
      <c r="G788" s="2" t="s">
        <v>19</v>
      </c>
      <c r="H788" s="2" t="s">
        <v>55</v>
      </c>
      <c r="I788" s="2" t="s">
        <v>211</v>
      </c>
      <c r="J788" s="2" t="s">
        <v>22</v>
      </c>
      <c r="K788" s="2" t="s">
        <v>130</v>
      </c>
      <c r="L788" s="2" t="s">
        <v>24</v>
      </c>
      <c r="M788" s="2" t="s">
        <v>84</v>
      </c>
      <c r="N788" s="2" t="s">
        <v>85</v>
      </c>
      <c r="O788" s="2" t="s">
        <v>97</v>
      </c>
      <c r="P788" s="2" t="s">
        <v>39</v>
      </c>
      <c r="Q788" s="2" t="s">
        <v>1103</v>
      </c>
    </row>
    <row r="789" spans="1:17">
      <c r="A789" s="2" t="s">
        <v>614</v>
      </c>
      <c r="B789" s="2" t="str">
        <f>[1]Sheet1!M789</f>
        <v>男</v>
      </c>
      <c r="C789" s="3" t="str" cm="1">
        <f t="array" ref="C7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89" s="2" t="str">
        <f>MID([1]Sheet1!F789,FIND("(",[1]Sheet1!F789)+1,FIND("-",[1]Sheet1!F789)-FIND("(",[1]Sheet1!F789)-1)</f>
        <v>河南</v>
      </c>
      <c r="E789" s="2" t="str">
        <f>MID([1]Sheet1!F789,FIND("-",[1]Sheet1!F789)+1,FIND(")",[1]Sheet1!F789)-FIND("-",[1]Sheet1!F789)-1)</f>
        <v>洛阳</v>
      </c>
      <c r="F789" s="2" t="s">
        <v>42</v>
      </c>
      <c r="G789" s="2" t="s">
        <v>50</v>
      </c>
      <c r="H789" s="2" t="s">
        <v>66</v>
      </c>
      <c r="I789" s="2" t="s">
        <v>21</v>
      </c>
      <c r="J789" s="2" t="s">
        <v>22</v>
      </c>
      <c r="K789" s="2" t="s">
        <v>130</v>
      </c>
      <c r="L789" s="2" t="s">
        <v>24</v>
      </c>
      <c r="M789" s="2" t="s">
        <v>36</v>
      </c>
      <c r="N789" s="2" t="s">
        <v>37</v>
      </c>
      <c r="O789" s="2" t="s">
        <v>79</v>
      </c>
      <c r="P789" s="2" t="s">
        <v>39</v>
      </c>
      <c r="Q789" s="2" t="s">
        <v>103</v>
      </c>
    </row>
    <row r="790" spans="1:17">
      <c r="A790" s="2" t="s">
        <v>913</v>
      </c>
      <c r="B790" s="2" t="str">
        <f>[1]Sheet1!M790</f>
        <v>女</v>
      </c>
      <c r="C790" s="3" t="str" cm="1">
        <f t="array" ref="C7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90" s="2" t="str">
        <f>MID([1]Sheet1!F790,FIND("(",[1]Sheet1!F790)+1,FIND("-",[1]Sheet1!F790)-FIND("(",[1]Sheet1!F790)-1)</f>
        <v>广西</v>
      </c>
      <c r="E790" s="2" t="str">
        <f>MID([1]Sheet1!F790,FIND("-",[1]Sheet1!F790)+1,FIND(")",[1]Sheet1!F790)-FIND("-",[1]Sheet1!F790)-1)</f>
        <v>南宁</v>
      </c>
      <c r="F790" s="2" t="s">
        <v>31</v>
      </c>
      <c r="G790" s="2" t="s">
        <v>50</v>
      </c>
      <c r="H790" s="2" t="s">
        <v>66</v>
      </c>
      <c r="I790" s="2" t="s">
        <v>21</v>
      </c>
      <c r="J790" s="2" t="s">
        <v>56</v>
      </c>
      <c r="K790" s="2" t="s">
        <v>121</v>
      </c>
      <c r="L790" s="2" t="s">
        <v>24</v>
      </c>
      <c r="M790" s="2" t="s">
        <v>57</v>
      </c>
      <c r="N790" s="2" t="s">
        <v>37</v>
      </c>
      <c r="O790" s="2" t="s">
        <v>305</v>
      </c>
      <c r="P790" s="2" t="s">
        <v>28</v>
      </c>
      <c r="Q790" s="2" t="s">
        <v>1104</v>
      </c>
    </row>
    <row r="791" spans="1:17">
      <c r="A791" s="2" t="s">
        <v>913</v>
      </c>
      <c r="B791" s="2" t="str">
        <f>[1]Sheet1!M791</f>
        <v>女</v>
      </c>
      <c r="C791" s="3" t="str" cm="1">
        <f t="array" ref="C7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91" s="2" t="str">
        <f>MID([1]Sheet1!F791,FIND("(",[1]Sheet1!F791)+1,FIND("-",[1]Sheet1!F791)-FIND("(",[1]Sheet1!F791)-1)</f>
        <v>广西</v>
      </c>
      <c r="E791" s="2" t="str">
        <f>MID([1]Sheet1!F791,FIND("-",[1]Sheet1!F791)+1,FIND(")",[1]Sheet1!F791)-FIND("-",[1]Sheet1!F791)-1)</f>
        <v>南宁</v>
      </c>
      <c r="F791" s="2" t="s">
        <v>31</v>
      </c>
      <c r="G791" s="2" t="s">
        <v>81</v>
      </c>
      <c r="H791" s="2" t="s">
        <v>66</v>
      </c>
      <c r="I791" s="2" t="s">
        <v>34</v>
      </c>
      <c r="J791" s="2" t="s">
        <v>77</v>
      </c>
      <c r="K791" s="2" t="s">
        <v>320</v>
      </c>
      <c r="L791" s="2" t="s">
        <v>24</v>
      </c>
      <c r="M791" s="2" t="s">
        <v>57</v>
      </c>
      <c r="N791" s="2" t="s">
        <v>37</v>
      </c>
      <c r="O791" s="2" t="s">
        <v>47</v>
      </c>
      <c r="P791" s="2" t="s">
        <v>39</v>
      </c>
      <c r="Q791" s="2" t="s">
        <v>160</v>
      </c>
    </row>
    <row r="792" spans="1:17">
      <c r="A792" s="2" t="s">
        <v>1105</v>
      </c>
      <c r="B792" s="2" t="str">
        <f>[1]Sheet1!M792</f>
        <v>男</v>
      </c>
      <c r="C792" s="3" t="str" cm="1">
        <f t="array" ref="C7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92" s="2" t="str">
        <f>MID([1]Sheet1!F792,FIND("(",[1]Sheet1!F792)+1,FIND("-",[1]Sheet1!F792)-FIND("(",[1]Sheet1!F792)-1)</f>
        <v>山东</v>
      </c>
      <c r="E792" s="2" t="str">
        <f>MID([1]Sheet1!F792,FIND("-",[1]Sheet1!F792)+1,FIND(")",[1]Sheet1!F792)-FIND("-",[1]Sheet1!F792)-1)</f>
        <v>烟台</v>
      </c>
      <c r="F792" s="2" t="s">
        <v>42</v>
      </c>
      <c r="G792" s="2" t="s">
        <v>32</v>
      </c>
      <c r="H792" s="2" t="s">
        <v>66</v>
      </c>
      <c r="I792" s="2" t="s">
        <v>51</v>
      </c>
      <c r="J792" s="2" t="s">
        <v>56</v>
      </c>
      <c r="K792" s="2" t="s">
        <v>130</v>
      </c>
      <c r="L792" s="2" t="s">
        <v>24</v>
      </c>
      <c r="M792" s="2" t="s">
        <v>143</v>
      </c>
      <c r="N792" s="2" t="s">
        <v>37</v>
      </c>
      <c r="O792" s="2" t="s">
        <v>478</v>
      </c>
      <c r="P792" s="2" t="s">
        <v>39</v>
      </c>
      <c r="Q792" s="2" t="s">
        <v>1106</v>
      </c>
    </row>
    <row r="793" spans="1:17">
      <c r="A793" s="2" t="s">
        <v>1107</v>
      </c>
      <c r="B793" s="2" t="str">
        <f>[1]Sheet1!M793</f>
        <v>男</v>
      </c>
      <c r="C793" s="3" t="str" cm="1">
        <f t="array" ref="C7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93" s="2" t="str">
        <f>MID([1]Sheet1!F793,FIND("(",[1]Sheet1!F793)+1,FIND("-",[1]Sheet1!F793)-FIND("(",[1]Sheet1!F793)-1)</f>
        <v>广东</v>
      </c>
      <c r="E793" s="2" t="str">
        <f>MID([1]Sheet1!F793,FIND("-",[1]Sheet1!F793)+1,FIND(")",[1]Sheet1!F793)-FIND("-",[1]Sheet1!F793)-1)</f>
        <v>广州</v>
      </c>
      <c r="F793" s="2" t="s">
        <v>31</v>
      </c>
      <c r="G793" s="2" t="s">
        <v>50</v>
      </c>
      <c r="H793" s="2" t="s">
        <v>66</v>
      </c>
      <c r="I793" s="2" t="s">
        <v>34</v>
      </c>
      <c r="J793" s="2" t="s">
        <v>96</v>
      </c>
      <c r="K793" s="2" t="s">
        <v>117</v>
      </c>
      <c r="L793" s="2" t="s">
        <v>24</v>
      </c>
      <c r="M793" s="2" t="s">
        <v>36</v>
      </c>
      <c r="N793" s="2" t="s">
        <v>37</v>
      </c>
      <c r="O793" s="2" t="s">
        <v>47</v>
      </c>
      <c r="P793" s="2" t="s">
        <v>28</v>
      </c>
      <c r="Q793" s="2" t="s">
        <v>1108</v>
      </c>
    </row>
    <row r="794" spans="1:17">
      <c r="A794" s="2" t="s">
        <v>1109</v>
      </c>
      <c r="B794" s="2" t="str">
        <f>[1]Sheet1!M794</f>
        <v>男</v>
      </c>
      <c r="C794" s="3" t="str" cm="1">
        <f t="array" ref="C7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794" s="2" t="str">
        <f>MID([1]Sheet1!F794,FIND("(",[1]Sheet1!F794)+1,FIND("-",[1]Sheet1!F794)-FIND("(",[1]Sheet1!F794)-1)</f>
        <v>陕西</v>
      </c>
      <c r="E794" s="2" t="str">
        <f>MID([1]Sheet1!F794,FIND("-",[1]Sheet1!F794)+1,FIND(")",[1]Sheet1!F794)-FIND("-",[1]Sheet1!F794)-1)</f>
        <v>西安</v>
      </c>
      <c r="F794" s="2" t="s">
        <v>42</v>
      </c>
      <c r="G794" s="2" t="s">
        <v>32</v>
      </c>
      <c r="H794" s="2" t="s">
        <v>66</v>
      </c>
      <c r="I794" s="2" t="s">
        <v>34</v>
      </c>
      <c r="J794" s="2" t="s">
        <v>96</v>
      </c>
      <c r="K794" s="2" t="s">
        <v>117</v>
      </c>
      <c r="L794" s="2" t="s">
        <v>24</v>
      </c>
      <c r="M794" s="2" t="s">
        <v>25</v>
      </c>
      <c r="N794" s="2" t="s">
        <v>37</v>
      </c>
      <c r="O794" s="2" t="s">
        <v>47</v>
      </c>
      <c r="P794" s="2" t="s">
        <v>179</v>
      </c>
      <c r="Q794" s="2" t="s">
        <v>94</v>
      </c>
    </row>
    <row r="795" spans="1:17">
      <c r="A795" s="2" t="s">
        <v>1110</v>
      </c>
      <c r="B795" s="2" t="str">
        <f>[1]Sheet1!M795</f>
        <v>女</v>
      </c>
      <c r="C795" s="3" t="str" cm="1">
        <f t="array" ref="C7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795" s="2" t="str">
        <f>MID([1]Sheet1!F795,FIND("(",[1]Sheet1!F795)+1,FIND("-",[1]Sheet1!F795)-FIND("(",[1]Sheet1!F795)-1)</f>
        <v>广西</v>
      </c>
      <c r="E795" s="2" t="str">
        <f>MID([1]Sheet1!F795,FIND("-",[1]Sheet1!F795)+1,FIND(")",[1]Sheet1!F795)-FIND("-",[1]Sheet1!F795)-1)</f>
        <v>柳州</v>
      </c>
      <c r="F795" s="2" t="s">
        <v>88</v>
      </c>
      <c r="G795" s="2" t="s">
        <v>50</v>
      </c>
      <c r="H795" s="2" t="s">
        <v>66</v>
      </c>
      <c r="I795" s="2" t="s">
        <v>120</v>
      </c>
      <c r="J795" s="2" t="s">
        <v>56</v>
      </c>
      <c r="K795" s="2" t="s">
        <v>372</v>
      </c>
      <c r="L795" s="2" t="s">
        <v>24</v>
      </c>
      <c r="M795" s="2" t="s">
        <v>126</v>
      </c>
      <c r="N795" s="2" t="s">
        <v>46</v>
      </c>
      <c r="O795" s="2" t="s">
        <v>47</v>
      </c>
      <c r="P795" s="2" t="s">
        <v>175</v>
      </c>
      <c r="Q795" s="2" t="s">
        <v>48</v>
      </c>
    </row>
    <row r="796" spans="1:17">
      <c r="A796" s="2" t="s">
        <v>1111</v>
      </c>
      <c r="B796" s="2" t="str">
        <f>[1]Sheet1!M796</f>
        <v>男</v>
      </c>
      <c r="C796" s="3" t="str" cm="1">
        <f t="array" ref="C7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96" s="2" t="str">
        <f>MID([1]Sheet1!F796,FIND("(",[1]Sheet1!F796)+1,FIND("-",[1]Sheet1!F796)-FIND("(",[1]Sheet1!F796)-1)</f>
        <v>河南</v>
      </c>
      <c r="E796" s="2" t="str">
        <f>MID([1]Sheet1!F796,FIND("-",[1]Sheet1!F796)+1,FIND(")",[1]Sheet1!F796)-FIND("-",[1]Sheet1!F796)-1)</f>
        <v>焦作</v>
      </c>
      <c r="F796" s="2" t="s">
        <v>42</v>
      </c>
      <c r="G796" s="2" t="s">
        <v>50</v>
      </c>
      <c r="H796" s="2" t="s">
        <v>20</v>
      </c>
      <c r="I796" s="2" t="s">
        <v>51</v>
      </c>
      <c r="J796" s="2" t="s">
        <v>82</v>
      </c>
      <c r="K796" s="2" t="s">
        <v>117</v>
      </c>
      <c r="L796" s="2" t="s">
        <v>24</v>
      </c>
      <c r="M796" s="2" t="s">
        <v>36</v>
      </c>
      <c r="N796" s="2" t="s">
        <v>37</v>
      </c>
      <c r="O796" s="2" t="s">
        <v>47</v>
      </c>
      <c r="P796" s="2" t="s">
        <v>218</v>
      </c>
      <c r="Q796" s="2" t="s">
        <v>68</v>
      </c>
    </row>
    <row r="797" spans="1:17">
      <c r="A797" s="2" t="s">
        <v>1112</v>
      </c>
      <c r="B797" s="2" t="str">
        <f>[1]Sheet1!M797</f>
        <v>男</v>
      </c>
      <c r="C797" s="3" t="str" cm="1">
        <f t="array" ref="C7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797" s="2" t="str">
        <f>MID([1]Sheet1!F797,FIND("(",[1]Sheet1!F797)+1,FIND("-",[1]Sheet1!F797)-FIND("(",[1]Sheet1!F797)-1)</f>
        <v>山东</v>
      </c>
      <c r="E797" s="2" t="str">
        <f>MID([1]Sheet1!F797,FIND("-",[1]Sheet1!F797)+1,FIND(")",[1]Sheet1!F797)-FIND("-",[1]Sheet1!F797)-1)</f>
        <v>东营</v>
      </c>
      <c r="F797" s="2" t="s">
        <v>88</v>
      </c>
      <c r="G797" s="2" t="s">
        <v>81</v>
      </c>
      <c r="H797" s="2" t="s">
        <v>33</v>
      </c>
      <c r="I797" s="2" t="s">
        <v>21</v>
      </c>
      <c r="J797" s="2" t="s">
        <v>35</v>
      </c>
      <c r="K797" s="2" t="s">
        <v>117</v>
      </c>
      <c r="L797" s="2" t="s">
        <v>24</v>
      </c>
      <c r="M797" s="2" t="s">
        <v>100</v>
      </c>
      <c r="N797" s="2" t="s">
        <v>37</v>
      </c>
      <c r="O797" s="2" t="s">
        <v>27</v>
      </c>
      <c r="P797" s="2" t="s">
        <v>59</v>
      </c>
      <c r="Q797" s="2" t="s">
        <v>1113</v>
      </c>
    </row>
    <row r="798" spans="1:17">
      <c r="A798" s="2" t="s">
        <v>1114</v>
      </c>
      <c r="B798" s="2" t="str">
        <f>[1]Sheet1!M798</f>
        <v>男</v>
      </c>
      <c r="C798" s="3" t="str" cm="1">
        <f t="array" ref="C7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98" s="2" t="str">
        <f>MID([1]Sheet1!F798,FIND("(",[1]Sheet1!F798)+1,FIND("-",[1]Sheet1!F798)-FIND("(",[1]Sheet1!F798)-1)</f>
        <v>湖南</v>
      </c>
      <c r="E798" s="2" t="str">
        <f>MID([1]Sheet1!F798,FIND("-",[1]Sheet1!F798)+1,FIND(")",[1]Sheet1!F798)-FIND("-",[1]Sheet1!F798)-1)</f>
        <v>长沙</v>
      </c>
      <c r="F798" s="2" t="s">
        <v>42</v>
      </c>
      <c r="G798" s="2" t="s">
        <v>32</v>
      </c>
      <c r="H798" s="2" t="s">
        <v>33</v>
      </c>
      <c r="I798" s="2" t="s">
        <v>73</v>
      </c>
      <c r="J798" s="2" t="s">
        <v>96</v>
      </c>
      <c r="K798" s="2" t="s">
        <v>773</v>
      </c>
      <c r="L798" s="2" t="s">
        <v>24</v>
      </c>
      <c r="M798" s="2" t="s">
        <v>100</v>
      </c>
      <c r="N798" s="2" t="s">
        <v>37</v>
      </c>
      <c r="O798" s="2" t="s">
        <v>27</v>
      </c>
      <c r="P798" s="2" t="s">
        <v>63</v>
      </c>
      <c r="Q798" s="2" t="s">
        <v>195</v>
      </c>
    </row>
    <row r="799" spans="1:17">
      <c r="A799" s="2" t="s">
        <v>1115</v>
      </c>
      <c r="B799" s="2" t="str">
        <f>[1]Sheet1!M799</f>
        <v>女</v>
      </c>
      <c r="C799" s="3" t="str" cm="1">
        <f t="array" ref="C7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799)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799" s="2" t="str">
        <f>MID([1]Sheet1!F799,FIND("(",[1]Sheet1!F799)+1,FIND("-",[1]Sheet1!F799)-FIND("(",[1]Sheet1!F799)-1)</f>
        <v>湖南</v>
      </c>
      <c r="E799" s="2" t="str">
        <f>MID([1]Sheet1!F799,FIND("-",[1]Sheet1!F799)+1,FIND(")",[1]Sheet1!F799)-FIND("-",[1]Sheet1!F799)-1)</f>
        <v>长沙</v>
      </c>
      <c r="F799" s="2" t="s">
        <v>70</v>
      </c>
      <c r="G799" s="2" t="s">
        <v>81</v>
      </c>
      <c r="H799" s="2" t="s">
        <v>33</v>
      </c>
      <c r="I799" s="2" t="s">
        <v>73</v>
      </c>
      <c r="J799" s="2" t="s">
        <v>77</v>
      </c>
      <c r="K799" s="2" t="s">
        <v>495</v>
      </c>
      <c r="L799" s="2" t="s">
        <v>83</v>
      </c>
      <c r="M799" s="2" t="s">
        <v>126</v>
      </c>
      <c r="N799" s="2" t="s">
        <v>37</v>
      </c>
      <c r="O799" s="2" t="s">
        <v>89</v>
      </c>
      <c r="P799" s="2" t="s">
        <v>179</v>
      </c>
      <c r="Q799" s="2" t="s">
        <v>1116</v>
      </c>
    </row>
    <row r="800" spans="1:17">
      <c r="A800" s="2" t="s">
        <v>1117</v>
      </c>
      <c r="B800" s="2" t="str">
        <f>[1]Sheet1!M800</f>
        <v>男</v>
      </c>
      <c r="C800" s="3" t="str" cm="1">
        <f t="array" ref="C8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00" s="2" t="str">
        <f>MID([1]Sheet1!F800,FIND("(",[1]Sheet1!F800)+1,FIND("-",[1]Sheet1!F800)-FIND("(",[1]Sheet1!F800)-1)</f>
        <v>四川</v>
      </c>
      <c r="E800" s="2" t="str">
        <f>MID([1]Sheet1!F800,FIND("-",[1]Sheet1!F800)+1,FIND(")",[1]Sheet1!F800)-FIND("-",[1]Sheet1!F800)-1)</f>
        <v>资阳</v>
      </c>
      <c r="F800" s="2" t="s">
        <v>18</v>
      </c>
      <c r="G800" s="2" t="s">
        <v>81</v>
      </c>
      <c r="H800" s="2" t="s">
        <v>33</v>
      </c>
      <c r="I800" s="2" t="s">
        <v>51</v>
      </c>
      <c r="J800" s="2" t="s">
        <v>82</v>
      </c>
      <c r="K800" s="2" t="s">
        <v>117</v>
      </c>
      <c r="L800" s="2" t="s">
        <v>83</v>
      </c>
      <c r="M800" s="2" t="s">
        <v>100</v>
      </c>
      <c r="N800" s="2" t="s">
        <v>37</v>
      </c>
      <c r="O800" s="2" t="s">
        <v>47</v>
      </c>
      <c r="P800" s="2" t="s">
        <v>86</v>
      </c>
      <c r="Q800" s="2" t="s">
        <v>135</v>
      </c>
    </row>
    <row r="801" spans="1:17">
      <c r="A801" s="2" t="s">
        <v>811</v>
      </c>
      <c r="B801" s="2" t="str">
        <f>[1]Sheet1!M801</f>
        <v>女</v>
      </c>
      <c r="C801" s="3" t="str" cm="1">
        <f t="array" ref="C8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01" s="2" t="str">
        <f>MID([1]Sheet1!F801,FIND("(",[1]Sheet1!F801)+1,FIND("-",[1]Sheet1!F801)-FIND("(",[1]Sheet1!F801)-1)</f>
        <v>广东</v>
      </c>
      <c r="E801" s="2" t="str">
        <f>MID([1]Sheet1!F801,FIND("-",[1]Sheet1!F801)+1,FIND(")",[1]Sheet1!F801)-FIND("-",[1]Sheet1!F801)-1)</f>
        <v>佛山</v>
      </c>
      <c r="F801" s="2" t="s">
        <v>31</v>
      </c>
      <c r="G801" s="2" t="s">
        <v>19</v>
      </c>
      <c r="H801" s="2" t="s">
        <v>66</v>
      </c>
      <c r="I801" s="2" t="s">
        <v>34</v>
      </c>
      <c r="J801" s="2" t="s">
        <v>56</v>
      </c>
      <c r="K801" s="2" t="s">
        <v>117</v>
      </c>
      <c r="L801" s="2" t="s">
        <v>24</v>
      </c>
      <c r="M801" s="2" t="s">
        <v>67</v>
      </c>
      <c r="N801" s="2" t="s">
        <v>26</v>
      </c>
      <c r="O801" s="2" t="s">
        <v>58</v>
      </c>
      <c r="P801" s="2" t="s">
        <v>28</v>
      </c>
      <c r="Q801" s="2" t="s">
        <v>261</v>
      </c>
    </row>
    <row r="802" spans="1:17">
      <c r="A802" s="2" t="s">
        <v>1118</v>
      </c>
      <c r="B802" s="2" t="str">
        <f>[1]Sheet1!M802</f>
        <v>男</v>
      </c>
      <c r="C802" s="3" t="str" cm="1">
        <f t="array" ref="C8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02" s="2" t="str">
        <f>MID([1]Sheet1!F802,FIND("(",[1]Sheet1!F802)+1,FIND("-",[1]Sheet1!F802)-FIND("(",[1]Sheet1!F802)-1)</f>
        <v>山东</v>
      </c>
      <c r="E802" s="2" t="str">
        <f>MID([1]Sheet1!F802,FIND("-",[1]Sheet1!F802)+1,FIND(")",[1]Sheet1!F802)-FIND("-",[1]Sheet1!F802)-1)</f>
        <v>济南</v>
      </c>
      <c r="F802" s="2" t="s">
        <v>88</v>
      </c>
      <c r="G802" s="2" t="s">
        <v>32</v>
      </c>
      <c r="H802" s="2" t="s">
        <v>55</v>
      </c>
      <c r="I802" s="2" t="s">
        <v>34</v>
      </c>
      <c r="J802" s="2" t="s">
        <v>35</v>
      </c>
      <c r="K802" s="2" t="s">
        <v>117</v>
      </c>
      <c r="L802" s="2" t="s">
        <v>24</v>
      </c>
      <c r="M802" s="2" t="s">
        <v>78</v>
      </c>
      <c r="N802" s="2" t="s">
        <v>46</v>
      </c>
      <c r="O802" s="2" t="s">
        <v>47</v>
      </c>
      <c r="P802" s="2" t="s">
        <v>39</v>
      </c>
      <c r="Q802" s="2" t="s">
        <v>103</v>
      </c>
    </row>
    <row r="803" spans="1:17">
      <c r="A803" s="2" t="s">
        <v>1119</v>
      </c>
      <c r="B803" s="2" t="str">
        <f>[1]Sheet1!M803</f>
        <v>男</v>
      </c>
      <c r="C803" s="3" t="str" cm="1">
        <f t="array" ref="C8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03" s="2" t="str">
        <f>MID([1]Sheet1!F803,FIND("(",[1]Sheet1!F803)+1,FIND("-",[1]Sheet1!F803)-FIND("(",[1]Sheet1!F803)-1)</f>
        <v>广西</v>
      </c>
      <c r="E803" s="2" t="str">
        <f>MID([1]Sheet1!F803,FIND("-",[1]Sheet1!F803)+1,FIND(")",[1]Sheet1!F803)-FIND("-",[1]Sheet1!F803)-1)</f>
        <v>南宁</v>
      </c>
      <c r="F803" s="2" t="s">
        <v>31</v>
      </c>
      <c r="G803" s="2" t="s">
        <v>81</v>
      </c>
      <c r="H803" s="2" t="s">
        <v>66</v>
      </c>
      <c r="I803" s="2" t="s">
        <v>51</v>
      </c>
      <c r="J803" s="2" t="s">
        <v>56</v>
      </c>
      <c r="K803" s="2" t="s">
        <v>121</v>
      </c>
      <c r="L803" s="2" t="s">
        <v>24</v>
      </c>
      <c r="M803" s="2" t="s">
        <v>84</v>
      </c>
      <c r="N803" s="2" t="s">
        <v>37</v>
      </c>
      <c r="O803" s="2" t="s">
        <v>97</v>
      </c>
      <c r="P803" s="2" t="s">
        <v>63</v>
      </c>
      <c r="Q803" s="2" t="s">
        <v>40</v>
      </c>
    </row>
    <row r="804" spans="1:17">
      <c r="A804" s="2" t="s">
        <v>1120</v>
      </c>
      <c r="B804" s="2" t="str">
        <f>[1]Sheet1!M804</f>
        <v>女</v>
      </c>
      <c r="C804" s="3" t="str" cm="1">
        <f t="array" ref="C8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04" s="2" t="str">
        <f>MID([1]Sheet1!F804,FIND("(",[1]Sheet1!F804)+1,FIND("-",[1]Sheet1!F804)-FIND("(",[1]Sheet1!F804)-1)</f>
        <v>广东</v>
      </c>
      <c r="E804" s="2" t="str">
        <f>MID([1]Sheet1!F804,FIND("-",[1]Sheet1!F804)+1,FIND(")",[1]Sheet1!F804)-FIND("-",[1]Sheet1!F804)-1)</f>
        <v>广州</v>
      </c>
      <c r="F804" s="2" t="s">
        <v>18</v>
      </c>
      <c r="G804" s="2" t="s">
        <v>50</v>
      </c>
      <c r="H804" s="2" t="s">
        <v>66</v>
      </c>
      <c r="I804" s="2" t="s">
        <v>21</v>
      </c>
      <c r="J804" s="2" t="s">
        <v>82</v>
      </c>
      <c r="K804" s="2" t="s">
        <v>117</v>
      </c>
      <c r="L804" s="2" t="s">
        <v>24</v>
      </c>
      <c r="M804" s="2" t="s">
        <v>67</v>
      </c>
      <c r="N804" s="2" t="s">
        <v>37</v>
      </c>
      <c r="O804" s="2" t="s">
        <v>187</v>
      </c>
      <c r="P804" s="2" t="s">
        <v>179</v>
      </c>
      <c r="Q804" s="2" t="s">
        <v>1121</v>
      </c>
    </row>
    <row r="805" spans="1:17">
      <c r="A805" s="2" t="s">
        <v>1122</v>
      </c>
      <c r="B805" s="2" t="str">
        <f>[1]Sheet1!M805</f>
        <v>男</v>
      </c>
      <c r="C805" s="3" t="str" cm="1">
        <f t="array" ref="C8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05" s="2" t="str">
        <f>MID([1]Sheet1!F805,FIND("(",[1]Sheet1!F805)+1,FIND("-",[1]Sheet1!F805)-FIND("(",[1]Sheet1!F805)-1)</f>
        <v>贵州</v>
      </c>
      <c r="E805" s="2" t="str">
        <f>MID([1]Sheet1!F805,FIND("-",[1]Sheet1!F805)+1,FIND(")",[1]Sheet1!F805)-FIND("-",[1]Sheet1!F805)-1)</f>
        <v>黔南</v>
      </c>
      <c r="F805" s="2" t="s">
        <v>42</v>
      </c>
      <c r="G805" s="2" t="s">
        <v>81</v>
      </c>
      <c r="H805" s="2" t="s">
        <v>66</v>
      </c>
      <c r="I805" s="2" t="s">
        <v>43</v>
      </c>
      <c r="J805" s="2" t="s">
        <v>96</v>
      </c>
      <c r="K805" s="2" t="s">
        <v>725</v>
      </c>
      <c r="L805" s="2" t="s">
        <v>24</v>
      </c>
      <c r="M805" s="2" t="s">
        <v>143</v>
      </c>
      <c r="N805" s="2" t="s">
        <v>26</v>
      </c>
      <c r="O805" s="2" t="s">
        <v>27</v>
      </c>
      <c r="P805" s="2" t="s">
        <v>63</v>
      </c>
      <c r="Q805" s="2" t="s">
        <v>1123</v>
      </c>
    </row>
    <row r="806" spans="1:17">
      <c r="A806" s="2" t="s">
        <v>1124</v>
      </c>
      <c r="B806" s="2" t="str">
        <f>[1]Sheet1!M806</f>
        <v>女</v>
      </c>
      <c r="C806" s="3" t="str" cm="1">
        <f t="array" ref="C8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06" s="2" t="str">
        <f>MID([1]Sheet1!F806,FIND("(",[1]Sheet1!F806)+1,FIND("-",[1]Sheet1!F806)-FIND("(",[1]Sheet1!F806)-1)</f>
        <v>河南</v>
      </c>
      <c r="E806" s="2" t="str">
        <f>MID([1]Sheet1!F806,FIND("-",[1]Sheet1!F806)+1,FIND(")",[1]Sheet1!F806)-FIND("-",[1]Sheet1!F806)-1)</f>
        <v>许昌</v>
      </c>
      <c r="F806" s="2" t="s">
        <v>42</v>
      </c>
      <c r="G806" s="2" t="s">
        <v>50</v>
      </c>
      <c r="H806" s="2" t="s">
        <v>20</v>
      </c>
      <c r="I806" s="2" t="s">
        <v>51</v>
      </c>
      <c r="J806" s="2" t="s">
        <v>22</v>
      </c>
      <c r="K806" s="2" t="s">
        <v>537</v>
      </c>
      <c r="L806" s="2" t="s">
        <v>24</v>
      </c>
      <c r="M806" s="2" t="s">
        <v>36</v>
      </c>
      <c r="N806" s="2" t="s">
        <v>37</v>
      </c>
      <c r="O806" s="2" t="s">
        <v>97</v>
      </c>
      <c r="P806" s="2" t="s">
        <v>59</v>
      </c>
      <c r="Q806" s="2" t="s">
        <v>144</v>
      </c>
    </row>
    <row r="807" spans="1:17">
      <c r="A807" s="2" t="s">
        <v>1125</v>
      </c>
      <c r="B807" s="2" t="str">
        <f>[1]Sheet1!M807</f>
        <v>男</v>
      </c>
      <c r="C807" s="3" t="str" cm="1">
        <f t="array" ref="C8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07" s="2" t="str">
        <f>MID([1]Sheet1!F807,FIND("(",[1]Sheet1!F807)+1,FIND("-",[1]Sheet1!F807)-FIND("(",[1]Sheet1!F807)-1)</f>
        <v>广西</v>
      </c>
      <c r="E807" s="2" t="str">
        <f>MID([1]Sheet1!F807,FIND("-",[1]Sheet1!F807)+1,FIND(")",[1]Sheet1!F807)-FIND("-",[1]Sheet1!F807)-1)</f>
        <v>河池</v>
      </c>
      <c r="F807" s="2" t="s">
        <v>31</v>
      </c>
      <c r="G807" s="2" t="s">
        <v>50</v>
      </c>
      <c r="H807" s="2" t="s">
        <v>66</v>
      </c>
      <c r="I807" s="2" t="s">
        <v>120</v>
      </c>
      <c r="J807" s="2" t="s">
        <v>22</v>
      </c>
      <c r="K807" s="2" t="s">
        <v>169</v>
      </c>
      <c r="L807" s="2" t="s">
        <v>24</v>
      </c>
      <c r="M807" s="2" t="s">
        <v>126</v>
      </c>
      <c r="N807" s="2" t="s">
        <v>85</v>
      </c>
      <c r="O807" s="2" t="s">
        <v>685</v>
      </c>
      <c r="P807" s="2" t="s">
        <v>39</v>
      </c>
      <c r="Q807" s="2" t="s">
        <v>348</v>
      </c>
    </row>
    <row r="808" spans="1:17">
      <c r="A808" s="2" t="s">
        <v>1126</v>
      </c>
      <c r="B808" s="2" t="str">
        <f>[1]Sheet1!M808</f>
        <v>男</v>
      </c>
      <c r="C808" s="3" t="str" cm="1">
        <f t="array" ref="C8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08" s="2" t="str">
        <f>MID([1]Sheet1!F808,FIND("(",[1]Sheet1!F808)+1,FIND("-",[1]Sheet1!F808)-FIND("(",[1]Sheet1!F808)-1)</f>
        <v>河南</v>
      </c>
      <c r="E808" s="2" t="str">
        <f>MID([1]Sheet1!F808,FIND("-",[1]Sheet1!F808)+1,FIND(")",[1]Sheet1!F808)-FIND("-",[1]Sheet1!F808)-1)</f>
        <v>郑州</v>
      </c>
      <c r="F808" s="2" t="s">
        <v>70</v>
      </c>
      <c r="G808" s="2" t="s">
        <v>162</v>
      </c>
      <c r="H808" s="2" t="s">
        <v>66</v>
      </c>
      <c r="I808" s="2" t="s">
        <v>21</v>
      </c>
      <c r="J808" s="2" t="s">
        <v>22</v>
      </c>
      <c r="K808" s="2" t="s">
        <v>117</v>
      </c>
      <c r="L808" s="2" t="s">
        <v>24</v>
      </c>
      <c r="M808" s="2" t="s">
        <v>78</v>
      </c>
      <c r="N808" s="2" t="s">
        <v>37</v>
      </c>
      <c r="O808" s="2" t="s">
        <v>47</v>
      </c>
      <c r="P808" s="2" t="s">
        <v>28</v>
      </c>
      <c r="Q808" s="2" t="s">
        <v>172</v>
      </c>
    </row>
    <row r="809" spans="1:17">
      <c r="A809" s="2" t="s">
        <v>1127</v>
      </c>
      <c r="B809" s="2" t="str">
        <f>[1]Sheet1!M809</f>
        <v>男</v>
      </c>
      <c r="C809" s="3" t="str" cm="1">
        <f t="array" ref="C8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809" s="2" t="str">
        <f>MID([1]Sheet1!F809,FIND("(",[1]Sheet1!F809)+1,FIND("-",[1]Sheet1!F809)-FIND("(",[1]Sheet1!F809)-1)</f>
        <v>内蒙古</v>
      </c>
      <c r="E809" s="2" t="str">
        <f>MID([1]Sheet1!F809,FIND("-",[1]Sheet1!F809)+1,FIND(")",[1]Sheet1!F809)-FIND("-",[1]Sheet1!F809)-1)</f>
        <v>乌兰察布</v>
      </c>
      <c r="F809" s="2" t="s">
        <v>70</v>
      </c>
      <c r="G809" s="2" t="s">
        <v>32</v>
      </c>
      <c r="H809" s="2" t="s">
        <v>66</v>
      </c>
      <c r="I809" s="2" t="s">
        <v>21</v>
      </c>
      <c r="J809" s="2" t="s">
        <v>82</v>
      </c>
      <c r="K809" s="2" t="s">
        <v>130</v>
      </c>
      <c r="L809" s="2" t="s">
        <v>24</v>
      </c>
      <c r="M809" s="2" t="s">
        <v>126</v>
      </c>
      <c r="N809" s="2" t="s">
        <v>37</v>
      </c>
      <c r="O809" s="2" t="s">
        <v>1128</v>
      </c>
      <c r="P809" s="2" t="s">
        <v>218</v>
      </c>
      <c r="Q809" s="2" t="s">
        <v>1129</v>
      </c>
    </row>
    <row r="810" spans="1:17">
      <c r="A810" s="2" t="s">
        <v>1130</v>
      </c>
      <c r="B810" s="2" t="str">
        <f>[1]Sheet1!M810</f>
        <v>女</v>
      </c>
      <c r="C810" s="3" t="str" cm="1">
        <f t="array" ref="C8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10" s="2" t="str">
        <f>MID([1]Sheet1!F810,FIND("(",[1]Sheet1!F810)+1,FIND("-",[1]Sheet1!F810)-FIND("(",[1]Sheet1!F810)-1)</f>
        <v>河南</v>
      </c>
      <c r="E810" s="2" t="str">
        <f>MID([1]Sheet1!F810,FIND("-",[1]Sheet1!F810)+1,FIND(")",[1]Sheet1!F810)-FIND("-",[1]Sheet1!F810)-1)</f>
        <v>郑州</v>
      </c>
      <c r="F810" s="2" t="s">
        <v>42</v>
      </c>
      <c r="G810" s="2" t="s">
        <v>32</v>
      </c>
      <c r="H810" s="2" t="s">
        <v>66</v>
      </c>
      <c r="I810" s="2" t="s">
        <v>120</v>
      </c>
      <c r="J810" s="2" t="s">
        <v>96</v>
      </c>
      <c r="K810" s="2" t="s">
        <v>372</v>
      </c>
      <c r="L810" s="2" t="s">
        <v>24</v>
      </c>
      <c r="M810" s="2" t="s">
        <v>36</v>
      </c>
      <c r="N810" s="2" t="s">
        <v>37</v>
      </c>
      <c r="O810" s="2" t="s">
        <v>47</v>
      </c>
      <c r="P810" s="2" t="s">
        <v>28</v>
      </c>
      <c r="Q810" s="2" t="s">
        <v>40</v>
      </c>
    </row>
    <row r="811" spans="1:17">
      <c r="A811" s="2" t="s">
        <v>1131</v>
      </c>
      <c r="B811" s="2" t="str">
        <f>[1]Sheet1!M811</f>
        <v>男</v>
      </c>
      <c r="C811" s="3" t="str" cm="1">
        <f t="array" ref="C8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11" s="2" t="str">
        <f>MID([1]Sheet1!F811,FIND("(",[1]Sheet1!F811)+1,FIND("-",[1]Sheet1!F811)-FIND("(",[1]Sheet1!F811)-1)</f>
        <v>安徽</v>
      </c>
      <c r="E811" s="2" t="str">
        <f>MID([1]Sheet1!F811,FIND("-",[1]Sheet1!F811)+1,FIND(")",[1]Sheet1!F811)-FIND("-",[1]Sheet1!F811)-1)</f>
        <v>合肥</v>
      </c>
      <c r="F811" s="2" t="s">
        <v>18</v>
      </c>
      <c r="G811" s="2" t="s">
        <v>32</v>
      </c>
      <c r="H811" s="2" t="s">
        <v>66</v>
      </c>
      <c r="I811" s="2" t="s">
        <v>51</v>
      </c>
      <c r="J811" s="2" t="s">
        <v>82</v>
      </c>
      <c r="K811" s="2" t="s">
        <v>121</v>
      </c>
      <c r="L811" s="2" t="s">
        <v>24</v>
      </c>
      <c r="M811" s="2" t="s">
        <v>36</v>
      </c>
      <c r="N811" s="2" t="s">
        <v>37</v>
      </c>
      <c r="O811" s="2" t="s">
        <v>424</v>
      </c>
      <c r="P811" s="2" t="s">
        <v>39</v>
      </c>
      <c r="Q811" s="2" t="s">
        <v>48</v>
      </c>
    </row>
    <row r="812" spans="1:17">
      <c r="A812" s="2" t="s">
        <v>1132</v>
      </c>
      <c r="B812" s="2" t="str">
        <f>[1]Sheet1!M812</f>
        <v>男</v>
      </c>
      <c r="C812" s="3" t="str" cm="1">
        <f t="array" ref="C8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12" s="2" t="str">
        <f>MID([1]Sheet1!F812,FIND("(",[1]Sheet1!F812)+1,FIND("-",[1]Sheet1!F812)-FIND("(",[1]Sheet1!F812)-1)</f>
        <v>云南</v>
      </c>
      <c r="E812" s="2" t="str">
        <f>MID([1]Sheet1!F812,FIND("-",[1]Sheet1!F812)+1,FIND(")",[1]Sheet1!F812)-FIND("-",[1]Sheet1!F812)-1)</f>
        <v>曲靖</v>
      </c>
      <c r="F812" s="2" t="s">
        <v>88</v>
      </c>
      <c r="G812" s="2" t="s">
        <v>50</v>
      </c>
      <c r="H812" s="2" t="s">
        <v>66</v>
      </c>
      <c r="I812" s="2" t="s">
        <v>43</v>
      </c>
      <c r="J812" s="2" t="s">
        <v>96</v>
      </c>
      <c r="K812" s="2" t="s">
        <v>212</v>
      </c>
      <c r="L812" s="2" t="s">
        <v>83</v>
      </c>
      <c r="M812" s="2" t="s">
        <v>78</v>
      </c>
      <c r="N812" s="2" t="s">
        <v>85</v>
      </c>
      <c r="O812" s="2" t="s">
        <v>187</v>
      </c>
      <c r="P812" s="2" t="s">
        <v>86</v>
      </c>
      <c r="Q812" s="2" t="s">
        <v>1133</v>
      </c>
    </row>
    <row r="813" spans="1:17">
      <c r="A813" s="2" t="s">
        <v>1134</v>
      </c>
      <c r="B813" s="2" t="str">
        <f>[1]Sheet1!M813</f>
        <v>男</v>
      </c>
      <c r="C813" s="3" t="str" cm="1">
        <f t="array" ref="C8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13" s="2" t="str">
        <f>MID([1]Sheet1!F813,FIND("(",[1]Sheet1!F813)+1,FIND("-",[1]Sheet1!F813)-FIND("(",[1]Sheet1!F813)-1)</f>
        <v>福建</v>
      </c>
      <c r="E813" s="2" t="str">
        <f>MID([1]Sheet1!F813,FIND("-",[1]Sheet1!F813)+1,FIND(")",[1]Sheet1!F813)-FIND("-",[1]Sheet1!F813)-1)</f>
        <v>福州</v>
      </c>
      <c r="F813" s="2" t="s">
        <v>31</v>
      </c>
      <c r="G813" s="2" t="s">
        <v>50</v>
      </c>
      <c r="H813" s="2" t="s">
        <v>66</v>
      </c>
      <c r="I813" s="2" t="s">
        <v>120</v>
      </c>
      <c r="J813" s="2" t="s">
        <v>56</v>
      </c>
      <c r="K813" s="2" t="s">
        <v>117</v>
      </c>
      <c r="L813" s="2" t="s">
        <v>83</v>
      </c>
      <c r="M813" s="2" t="s">
        <v>25</v>
      </c>
      <c r="N813" s="2" t="s">
        <v>37</v>
      </c>
      <c r="O813" s="2" t="s">
        <v>27</v>
      </c>
      <c r="P813" s="2" t="s">
        <v>86</v>
      </c>
      <c r="Q813" s="2" t="s">
        <v>1135</v>
      </c>
    </row>
    <row r="814" spans="1:17">
      <c r="A814" s="2" t="s">
        <v>1136</v>
      </c>
      <c r="B814" s="2" t="str">
        <f>[1]Sheet1!M814</f>
        <v>男</v>
      </c>
      <c r="C814" s="3" t="str" cm="1">
        <f t="array" ref="C8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14" s="2" t="str">
        <f>MID([1]Sheet1!F814,FIND("(",[1]Sheet1!F814)+1,FIND("-",[1]Sheet1!F814)-FIND("(",[1]Sheet1!F814)-1)</f>
        <v>山东</v>
      </c>
      <c r="E814" s="2" t="str">
        <f>MID([1]Sheet1!F814,FIND("-",[1]Sheet1!F814)+1,FIND(")",[1]Sheet1!F814)-FIND("-",[1]Sheet1!F814)-1)</f>
        <v>济南</v>
      </c>
      <c r="F814" s="2" t="s">
        <v>42</v>
      </c>
      <c r="G814" s="2" t="s">
        <v>81</v>
      </c>
      <c r="H814" s="2" t="s">
        <v>66</v>
      </c>
      <c r="I814" s="2" t="s">
        <v>43</v>
      </c>
      <c r="J814" s="2" t="s">
        <v>96</v>
      </c>
      <c r="K814" s="2" t="s">
        <v>117</v>
      </c>
      <c r="L814" s="2" t="s">
        <v>24</v>
      </c>
      <c r="M814" s="2" t="s">
        <v>78</v>
      </c>
      <c r="N814" s="2" t="s">
        <v>37</v>
      </c>
      <c r="O814" s="2" t="s">
        <v>47</v>
      </c>
      <c r="P814" s="2" t="s">
        <v>39</v>
      </c>
      <c r="Q814" s="2" t="s">
        <v>98</v>
      </c>
    </row>
    <row r="815" spans="1:17">
      <c r="A815" s="2" t="s">
        <v>1137</v>
      </c>
      <c r="B815" s="2" t="str">
        <f>[1]Sheet1!M815</f>
        <v>男</v>
      </c>
      <c r="C815" s="3" t="str" cm="1">
        <f t="array" ref="C8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15" s="2" t="str">
        <f>MID([1]Sheet1!F815,FIND("(",[1]Sheet1!F815)+1,FIND("-",[1]Sheet1!F815)-FIND("(",[1]Sheet1!F815)-1)</f>
        <v>河南</v>
      </c>
      <c r="E815" s="2" t="str">
        <f>MID([1]Sheet1!F815,FIND("-",[1]Sheet1!F815)+1,FIND(")",[1]Sheet1!F815)-FIND("-",[1]Sheet1!F815)-1)</f>
        <v>郑州</v>
      </c>
      <c r="F815" s="2" t="s">
        <v>31</v>
      </c>
      <c r="G815" s="2" t="s">
        <v>81</v>
      </c>
      <c r="H815" s="2" t="s">
        <v>33</v>
      </c>
      <c r="I815" s="2" t="s">
        <v>21</v>
      </c>
      <c r="J815" s="2" t="s">
        <v>82</v>
      </c>
      <c r="K815" s="2" t="s">
        <v>1138</v>
      </c>
      <c r="L815" s="2" t="s">
        <v>24</v>
      </c>
      <c r="M815" s="2" t="s">
        <v>1139</v>
      </c>
      <c r="N815" s="2" t="s">
        <v>85</v>
      </c>
      <c r="O815" s="2" t="s">
        <v>89</v>
      </c>
      <c r="P815" s="2" t="s">
        <v>512</v>
      </c>
      <c r="Q815" s="2" t="s">
        <v>133</v>
      </c>
    </row>
    <row r="816" spans="1:17">
      <c r="A816" s="2" t="s">
        <v>1140</v>
      </c>
      <c r="B816" s="2" t="str">
        <f>[1]Sheet1!M816</f>
        <v>男</v>
      </c>
      <c r="C816" s="3" t="str" cm="1">
        <f t="array" ref="C8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16" s="2" t="str">
        <f>MID([1]Sheet1!F816,FIND("(",[1]Sheet1!F816)+1,FIND("-",[1]Sheet1!F816)-FIND("(",[1]Sheet1!F816)-1)</f>
        <v>山东</v>
      </c>
      <c r="E816" s="2" t="str">
        <f>MID([1]Sheet1!F816,FIND("-",[1]Sheet1!F816)+1,FIND(")",[1]Sheet1!F816)-FIND("-",[1]Sheet1!F816)-1)</f>
        <v>泰安</v>
      </c>
      <c r="F816" s="2" t="s">
        <v>42</v>
      </c>
      <c r="G816" s="2" t="s">
        <v>19</v>
      </c>
      <c r="H816" s="2" t="s">
        <v>55</v>
      </c>
      <c r="I816" s="2" t="s">
        <v>51</v>
      </c>
      <c r="J816" s="2" t="s">
        <v>56</v>
      </c>
      <c r="K816" s="2" t="s">
        <v>115</v>
      </c>
      <c r="L816" s="2" t="s">
        <v>24</v>
      </c>
      <c r="M816" s="2" t="s">
        <v>111</v>
      </c>
      <c r="N816" s="2" t="s">
        <v>85</v>
      </c>
      <c r="O816" s="2" t="s">
        <v>89</v>
      </c>
      <c r="P816" s="2" t="s">
        <v>86</v>
      </c>
      <c r="Q816" s="2" t="s">
        <v>356</v>
      </c>
    </row>
    <row r="817" spans="1:17">
      <c r="A817" s="2" t="s">
        <v>1141</v>
      </c>
      <c r="B817" s="2" t="str">
        <f>[1]Sheet1!M817</f>
        <v>男</v>
      </c>
      <c r="C817" s="3" t="str" cm="1">
        <f t="array" ref="C8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17" s="2" t="str">
        <f>MID([1]Sheet1!F817,FIND("(",[1]Sheet1!F817)+1,FIND("-",[1]Sheet1!F817)-FIND("(",[1]Sheet1!F817)-1)</f>
        <v>四川</v>
      </c>
      <c r="E817" s="2" t="str">
        <f>MID([1]Sheet1!F817,FIND("-",[1]Sheet1!F817)+1,FIND(")",[1]Sheet1!F817)-FIND("-",[1]Sheet1!F817)-1)</f>
        <v>成都</v>
      </c>
      <c r="F817" s="2" t="s">
        <v>159</v>
      </c>
      <c r="G817" s="2" t="s">
        <v>50</v>
      </c>
      <c r="H817" s="2" t="s">
        <v>33</v>
      </c>
      <c r="I817" s="2" t="s">
        <v>21</v>
      </c>
      <c r="J817" s="2" t="s">
        <v>77</v>
      </c>
      <c r="K817" s="2" t="s">
        <v>169</v>
      </c>
      <c r="L817" s="2" t="s">
        <v>24</v>
      </c>
      <c r="M817" s="2" t="s">
        <v>84</v>
      </c>
      <c r="N817" s="2" t="s">
        <v>37</v>
      </c>
      <c r="O817" s="2" t="s">
        <v>914</v>
      </c>
      <c r="P817" s="2" t="s">
        <v>39</v>
      </c>
      <c r="Q817" s="2" t="s">
        <v>133</v>
      </c>
    </row>
    <row r="818" spans="1:17">
      <c r="A818" s="2" t="s">
        <v>1142</v>
      </c>
      <c r="B818" s="2" t="str">
        <f>[1]Sheet1!M818</f>
        <v>男</v>
      </c>
      <c r="C818" s="3" t="str" cm="1">
        <f t="array" ref="C8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18" s="2" t="str">
        <f>MID([1]Sheet1!F818,FIND("(",[1]Sheet1!F818)+1,FIND("-",[1]Sheet1!F818)-FIND("(",[1]Sheet1!F818)-1)</f>
        <v>四川</v>
      </c>
      <c r="E818" s="2" t="str">
        <f>MID([1]Sheet1!F818,FIND("-",[1]Sheet1!F818)+1,FIND(")",[1]Sheet1!F818)-FIND("-",[1]Sheet1!F818)-1)</f>
        <v>成都</v>
      </c>
      <c r="F818" s="2" t="s">
        <v>42</v>
      </c>
      <c r="G818" s="2" t="s">
        <v>50</v>
      </c>
      <c r="H818" s="2" t="s">
        <v>55</v>
      </c>
      <c r="I818" s="2" t="s">
        <v>73</v>
      </c>
      <c r="J818" s="2" t="s">
        <v>96</v>
      </c>
      <c r="K818" s="2" t="s">
        <v>117</v>
      </c>
      <c r="L818" s="2" t="s">
        <v>83</v>
      </c>
      <c r="M818" s="2" t="s">
        <v>36</v>
      </c>
      <c r="N818" s="2" t="s">
        <v>37</v>
      </c>
      <c r="O818" s="2" t="s">
        <v>47</v>
      </c>
      <c r="P818" s="2" t="s">
        <v>28</v>
      </c>
      <c r="Q818" s="2" t="s">
        <v>1143</v>
      </c>
    </row>
    <row r="819" spans="1:17">
      <c r="A819" s="2" t="s">
        <v>1144</v>
      </c>
      <c r="B819" s="2" t="str">
        <f>[1]Sheet1!M819</f>
        <v>男</v>
      </c>
      <c r="C819" s="3" t="str" cm="1">
        <f t="array" ref="C8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19" s="2" t="str">
        <f>MID([1]Sheet1!F819,FIND("(",[1]Sheet1!F819)+1,FIND("-",[1]Sheet1!F819)-FIND("(",[1]Sheet1!F819)-1)</f>
        <v>江苏</v>
      </c>
      <c r="E819" s="2" t="str">
        <f>MID([1]Sheet1!F819,FIND("-",[1]Sheet1!F819)+1,FIND(")",[1]Sheet1!F819)-FIND("-",[1]Sheet1!F819)-1)</f>
        <v>连云港</v>
      </c>
      <c r="F819" s="2" t="s">
        <v>42</v>
      </c>
      <c r="G819" s="2" t="s">
        <v>81</v>
      </c>
      <c r="H819" s="2" t="s">
        <v>66</v>
      </c>
      <c r="I819" s="2" t="s">
        <v>51</v>
      </c>
      <c r="J819" s="2" t="s">
        <v>44</v>
      </c>
      <c r="K819" s="2" t="s">
        <v>115</v>
      </c>
      <c r="L819" s="2" t="s">
        <v>24</v>
      </c>
      <c r="M819" s="2" t="s">
        <v>360</v>
      </c>
      <c r="N819" s="2" t="s">
        <v>26</v>
      </c>
      <c r="O819" s="2" t="s">
        <v>89</v>
      </c>
      <c r="P819" s="2" t="s">
        <v>39</v>
      </c>
      <c r="Q819" s="2" t="s">
        <v>172</v>
      </c>
    </row>
    <row r="820" spans="1:17">
      <c r="A820" s="2" t="s">
        <v>1145</v>
      </c>
      <c r="B820" s="2" t="str">
        <f>[1]Sheet1!M820</f>
        <v>男</v>
      </c>
      <c r="C820" s="3" t="str" cm="1">
        <f t="array" ref="C8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20" s="2" t="str">
        <f>MID([1]Sheet1!F820,FIND("(",[1]Sheet1!F820)+1,FIND("-",[1]Sheet1!F820)-FIND("(",[1]Sheet1!F820)-1)</f>
        <v>河南</v>
      </c>
      <c r="E820" s="2" t="str">
        <f>MID([1]Sheet1!F820,FIND("-",[1]Sheet1!F820)+1,FIND(")",[1]Sheet1!F820)-FIND("-",[1]Sheet1!F820)-1)</f>
        <v>商丘</v>
      </c>
      <c r="F820" s="2" t="s">
        <v>18</v>
      </c>
      <c r="G820" s="2" t="s">
        <v>19</v>
      </c>
      <c r="H820" s="2" t="s">
        <v>66</v>
      </c>
      <c r="I820" s="2" t="s">
        <v>43</v>
      </c>
      <c r="J820" s="2" t="s">
        <v>82</v>
      </c>
      <c r="K820" s="2" t="s">
        <v>115</v>
      </c>
      <c r="L820" s="2" t="s">
        <v>24</v>
      </c>
      <c r="M820" s="2" t="s">
        <v>681</v>
      </c>
      <c r="N820" s="2" t="s">
        <v>37</v>
      </c>
      <c r="O820" s="2" t="s">
        <v>295</v>
      </c>
      <c r="P820" s="2" t="s">
        <v>39</v>
      </c>
      <c r="Q820" s="2" t="s">
        <v>172</v>
      </c>
    </row>
    <row r="821" spans="1:17">
      <c r="A821" s="2" t="s">
        <v>1146</v>
      </c>
      <c r="B821" s="2" t="str">
        <f>[1]Sheet1!M821</f>
        <v>男</v>
      </c>
      <c r="C821" s="3" t="str" cm="1">
        <f t="array" ref="C8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21" s="2" t="str">
        <f>MID([1]Sheet1!F821,FIND("(",[1]Sheet1!F821)+1,FIND("-",[1]Sheet1!F821)-FIND("(",[1]Sheet1!F821)-1)</f>
        <v>山东</v>
      </c>
      <c r="E821" s="2" t="str">
        <f>MID([1]Sheet1!F821,FIND("-",[1]Sheet1!F821)+1,FIND(")",[1]Sheet1!F821)-FIND("-",[1]Sheet1!F821)-1)</f>
        <v>青岛</v>
      </c>
      <c r="F821" s="2" t="s">
        <v>88</v>
      </c>
      <c r="G821" s="2" t="s">
        <v>32</v>
      </c>
      <c r="H821" s="2" t="s">
        <v>66</v>
      </c>
      <c r="I821" s="2" t="s">
        <v>120</v>
      </c>
      <c r="J821" s="2" t="s">
        <v>96</v>
      </c>
      <c r="K821" s="2" t="s">
        <v>117</v>
      </c>
      <c r="L821" s="2" t="s">
        <v>83</v>
      </c>
      <c r="M821" s="2" t="s">
        <v>78</v>
      </c>
      <c r="N821" s="2" t="s">
        <v>26</v>
      </c>
      <c r="O821" s="2" t="s">
        <v>27</v>
      </c>
      <c r="P821" s="2" t="s">
        <v>39</v>
      </c>
      <c r="Q821" s="2" t="s">
        <v>206</v>
      </c>
    </row>
    <row r="822" spans="1:17">
      <c r="A822" s="2" t="s">
        <v>1147</v>
      </c>
      <c r="B822" s="2" t="str">
        <f>[1]Sheet1!M822</f>
        <v>男</v>
      </c>
      <c r="C822" s="3" t="str" cm="1">
        <f t="array" ref="C8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22" s="2" t="str">
        <f>MID([1]Sheet1!F822,FIND("(",[1]Sheet1!F822)+1,FIND("-",[1]Sheet1!F822)-FIND("(",[1]Sheet1!F822)-1)</f>
        <v>陕西</v>
      </c>
      <c r="E822" s="2" t="str">
        <f>MID([1]Sheet1!F822,FIND("-",[1]Sheet1!F822)+1,FIND(")",[1]Sheet1!F822)-FIND("-",[1]Sheet1!F822)-1)</f>
        <v>宝鸡</v>
      </c>
      <c r="F822" s="2" t="s">
        <v>18</v>
      </c>
      <c r="G822" s="2" t="s">
        <v>19</v>
      </c>
      <c r="H822" s="2" t="s">
        <v>66</v>
      </c>
      <c r="I822" s="2" t="s">
        <v>21</v>
      </c>
      <c r="J822" s="2" t="s">
        <v>56</v>
      </c>
      <c r="K822" s="2" t="s">
        <v>117</v>
      </c>
      <c r="L822" s="2" t="s">
        <v>24</v>
      </c>
      <c r="M822" s="2" t="s">
        <v>36</v>
      </c>
      <c r="N822" s="2" t="s">
        <v>37</v>
      </c>
      <c r="O822" s="2" t="s">
        <v>89</v>
      </c>
      <c r="P822" s="2" t="s">
        <v>39</v>
      </c>
      <c r="Q822" s="2" t="s">
        <v>328</v>
      </c>
    </row>
    <row r="823" spans="1:17">
      <c r="A823" s="2" t="s">
        <v>1148</v>
      </c>
      <c r="B823" s="2" t="str">
        <f>[1]Sheet1!M823</f>
        <v>男</v>
      </c>
      <c r="C823" s="3" t="str" cm="1">
        <f t="array" ref="C8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23" s="2" t="str">
        <f>MID([1]Sheet1!F823,FIND("(",[1]Sheet1!F823)+1,FIND("-",[1]Sheet1!F823)-FIND("(",[1]Sheet1!F823)-1)</f>
        <v>四川</v>
      </c>
      <c r="E823" s="2" t="str">
        <f>MID([1]Sheet1!F823,FIND("-",[1]Sheet1!F823)+1,FIND(")",[1]Sheet1!F823)-FIND("-",[1]Sheet1!F823)-1)</f>
        <v>成都</v>
      </c>
      <c r="F823" s="2" t="s">
        <v>42</v>
      </c>
      <c r="G823" s="2" t="s">
        <v>50</v>
      </c>
      <c r="H823" s="2" t="s">
        <v>66</v>
      </c>
      <c r="I823" s="2" t="s">
        <v>211</v>
      </c>
      <c r="J823" s="2" t="s">
        <v>82</v>
      </c>
      <c r="K823" s="2" t="s">
        <v>121</v>
      </c>
      <c r="L823" s="2" t="s">
        <v>24</v>
      </c>
      <c r="M823" s="2" t="s">
        <v>36</v>
      </c>
      <c r="N823" s="2" t="s">
        <v>37</v>
      </c>
      <c r="O823" s="2" t="s">
        <v>202</v>
      </c>
      <c r="P823" s="2" t="s">
        <v>86</v>
      </c>
      <c r="Q823" s="2" t="s">
        <v>1097</v>
      </c>
    </row>
    <row r="824" spans="1:17">
      <c r="A824" s="2" t="s">
        <v>1149</v>
      </c>
      <c r="B824" s="2" t="str">
        <f>[1]Sheet1!M824</f>
        <v>男</v>
      </c>
      <c r="C824" s="3" t="str" cm="1">
        <f t="array" ref="C8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24" s="2" t="str">
        <f>MID([1]Sheet1!F824,FIND("(",[1]Sheet1!F824)+1,FIND("-",[1]Sheet1!F824)-FIND("(",[1]Sheet1!F824)-1)</f>
        <v>广东</v>
      </c>
      <c r="E824" s="2" t="str">
        <f>MID([1]Sheet1!F824,FIND("-",[1]Sheet1!F824)+1,FIND(")",[1]Sheet1!F824)-FIND("-",[1]Sheet1!F824)-1)</f>
        <v>佛山</v>
      </c>
      <c r="F824" s="2" t="s">
        <v>42</v>
      </c>
      <c r="G824" s="2" t="s">
        <v>19</v>
      </c>
      <c r="H824" s="2" t="s">
        <v>66</v>
      </c>
      <c r="I824" s="2" t="s">
        <v>120</v>
      </c>
      <c r="J824" s="2" t="s">
        <v>82</v>
      </c>
      <c r="K824" s="2" t="s">
        <v>121</v>
      </c>
      <c r="L824" s="2" t="s">
        <v>83</v>
      </c>
      <c r="M824" s="2" t="s">
        <v>36</v>
      </c>
      <c r="N824" s="2" t="s">
        <v>37</v>
      </c>
      <c r="O824" s="2" t="s">
        <v>450</v>
      </c>
      <c r="P824" s="2" t="s">
        <v>218</v>
      </c>
      <c r="Q824" s="2" t="s">
        <v>101</v>
      </c>
    </row>
    <row r="825" spans="1:17">
      <c r="A825" s="2" t="s">
        <v>1150</v>
      </c>
      <c r="B825" s="2" t="str">
        <f>[1]Sheet1!M825</f>
        <v>女</v>
      </c>
      <c r="C825" s="3" t="str" cm="1">
        <f t="array" ref="C8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25" s="2" t="str">
        <f>MID([1]Sheet1!F825,FIND("(",[1]Sheet1!F825)+1,FIND("-",[1]Sheet1!F825)-FIND("(",[1]Sheet1!F825)-1)</f>
        <v>山东</v>
      </c>
      <c r="E825" s="2" t="str">
        <f>MID([1]Sheet1!F825,FIND("-",[1]Sheet1!F825)+1,FIND(")",[1]Sheet1!F825)-FIND("-",[1]Sheet1!F825)-1)</f>
        <v>济南</v>
      </c>
      <c r="F825" s="2" t="s">
        <v>42</v>
      </c>
      <c r="G825" s="2" t="s">
        <v>50</v>
      </c>
      <c r="H825" s="2" t="s">
        <v>55</v>
      </c>
      <c r="I825" s="2" t="s">
        <v>43</v>
      </c>
      <c r="J825" s="2" t="s">
        <v>56</v>
      </c>
      <c r="K825" s="2" t="s">
        <v>121</v>
      </c>
      <c r="L825" s="2" t="s">
        <v>24</v>
      </c>
      <c r="M825" s="2" t="s">
        <v>25</v>
      </c>
      <c r="N825" s="2" t="s">
        <v>37</v>
      </c>
      <c r="O825" s="2" t="s">
        <v>152</v>
      </c>
      <c r="P825" s="2" t="s">
        <v>39</v>
      </c>
      <c r="Q825" s="2" t="s">
        <v>172</v>
      </c>
    </row>
    <row r="826" spans="1:17">
      <c r="A826" s="2" t="s">
        <v>1151</v>
      </c>
      <c r="B826" s="2" t="str">
        <f>[1]Sheet1!M826</f>
        <v>女</v>
      </c>
      <c r="C826" s="3" t="str" cm="1">
        <f t="array" ref="C8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26" s="2" t="str">
        <f>MID([1]Sheet1!F826,FIND("(",[1]Sheet1!F826)+1,FIND("-",[1]Sheet1!F826)-FIND("(",[1]Sheet1!F826)-1)</f>
        <v>四川</v>
      </c>
      <c r="E826" s="2" t="str">
        <f>MID([1]Sheet1!F826,FIND("-",[1]Sheet1!F826)+1,FIND(")",[1]Sheet1!F826)-FIND("-",[1]Sheet1!F826)-1)</f>
        <v>宜宾</v>
      </c>
      <c r="F826" s="2" t="s">
        <v>18</v>
      </c>
      <c r="G826" s="2" t="s">
        <v>50</v>
      </c>
      <c r="H826" s="2" t="s">
        <v>20</v>
      </c>
      <c r="I826" s="2" t="s">
        <v>21</v>
      </c>
      <c r="J826" s="2" t="s">
        <v>56</v>
      </c>
      <c r="K826" s="2" t="s">
        <v>130</v>
      </c>
      <c r="L826" s="2" t="s">
        <v>24</v>
      </c>
      <c r="M826" s="2" t="s">
        <v>143</v>
      </c>
      <c r="N826" s="2" t="s">
        <v>46</v>
      </c>
      <c r="O826" s="2" t="s">
        <v>202</v>
      </c>
      <c r="P826" s="2" t="s">
        <v>63</v>
      </c>
      <c r="Q826" s="2" t="s">
        <v>172</v>
      </c>
    </row>
    <row r="827" spans="1:17">
      <c r="A827" s="2" t="s">
        <v>1152</v>
      </c>
      <c r="B827" s="2" t="str">
        <f>[1]Sheet1!M827</f>
        <v>男</v>
      </c>
      <c r="C827" s="3" t="str" cm="1">
        <f t="array" ref="C8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27" s="2" t="str">
        <f>MID([1]Sheet1!F827,FIND("(",[1]Sheet1!F827)+1,FIND("-",[1]Sheet1!F827)-FIND("(",[1]Sheet1!F827)-1)</f>
        <v>江苏</v>
      </c>
      <c r="E827" s="2" t="str">
        <f>MID([1]Sheet1!F827,FIND("-",[1]Sheet1!F827)+1,FIND(")",[1]Sheet1!F827)-FIND("-",[1]Sheet1!F827)-1)</f>
        <v>苏州</v>
      </c>
      <c r="F827" s="2" t="s">
        <v>31</v>
      </c>
      <c r="G827" s="2" t="s">
        <v>50</v>
      </c>
      <c r="H827" s="2" t="s">
        <v>66</v>
      </c>
      <c r="I827" s="2" t="s">
        <v>34</v>
      </c>
      <c r="J827" s="2" t="s">
        <v>35</v>
      </c>
      <c r="K827" s="2" t="s">
        <v>117</v>
      </c>
      <c r="L827" s="2" t="s">
        <v>24</v>
      </c>
      <c r="M827" s="2" t="s">
        <v>25</v>
      </c>
      <c r="N827" s="2" t="s">
        <v>105</v>
      </c>
      <c r="O827" s="2" t="s">
        <v>47</v>
      </c>
      <c r="P827" s="2" t="s">
        <v>39</v>
      </c>
      <c r="Q827" s="2" t="s">
        <v>94</v>
      </c>
    </row>
    <row r="828" spans="1:17">
      <c r="A828" s="2" t="s">
        <v>1153</v>
      </c>
      <c r="B828" s="2" t="str">
        <f>[1]Sheet1!M828</f>
        <v>男</v>
      </c>
      <c r="C828" s="3" t="str" cm="1">
        <f t="array" ref="C8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28" s="2" t="str">
        <f>MID([1]Sheet1!F828,FIND("(",[1]Sheet1!F828)+1,FIND("-",[1]Sheet1!F828)-FIND("(",[1]Sheet1!F828)-1)</f>
        <v>北京</v>
      </c>
      <c r="E828" s="2" t="str">
        <f>MID([1]Sheet1!F828,FIND("-",[1]Sheet1!F828)+1,FIND(")",[1]Sheet1!F828)-FIND("-",[1]Sheet1!F828)-1)</f>
        <v>北京</v>
      </c>
      <c r="F828" s="2" t="s">
        <v>42</v>
      </c>
      <c r="G828" s="2" t="s">
        <v>81</v>
      </c>
      <c r="H828" s="2" t="s">
        <v>20</v>
      </c>
      <c r="I828" s="2" t="s">
        <v>43</v>
      </c>
      <c r="J828" s="2" t="s">
        <v>96</v>
      </c>
      <c r="K828" s="2" t="s">
        <v>117</v>
      </c>
      <c r="L828" s="2" t="s">
        <v>83</v>
      </c>
      <c r="M828" s="2" t="s">
        <v>143</v>
      </c>
      <c r="N828" s="2" t="s">
        <v>105</v>
      </c>
      <c r="O828" s="2" t="s">
        <v>58</v>
      </c>
      <c r="P828" s="2" t="s">
        <v>63</v>
      </c>
      <c r="Q828" s="2" t="s">
        <v>1154</v>
      </c>
    </row>
    <row r="829" spans="1:17">
      <c r="A829" s="2" t="s">
        <v>1155</v>
      </c>
      <c r="B829" s="2" t="str">
        <f>[1]Sheet1!M829</f>
        <v>男</v>
      </c>
      <c r="C829" s="3" t="str" cm="1">
        <f t="array" ref="C8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29" s="2" t="str">
        <f>MID([1]Sheet1!F829,FIND("(",[1]Sheet1!F829)+1,FIND("-",[1]Sheet1!F829)-FIND("(",[1]Sheet1!F829)-1)</f>
        <v>江苏</v>
      </c>
      <c r="E829" s="2" t="str">
        <f>MID([1]Sheet1!F829,FIND("-",[1]Sheet1!F829)+1,FIND(")",[1]Sheet1!F829)-FIND("-",[1]Sheet1!F829)-1)</f>
        <v>徐州</v>
      </c>
      <c r="F829" s="2" t="s">
        <v>42</v>
      </c>
      <c r="G829" s="2" t="s">
        <v>32</v>
      </c>
      <c r="H829" s="2" t="s">
        <v>66</v>
      </c>
      <c r="I829" s="2" t="s">
        <v>43</v>
      </c>
      <c r="J829" s="2" t="s">
        <v>56</v>
      </c>
      <c r="K829" s="2" t="s">
        <v>130</v>
      </c>
      <c r="L829" s="2" t="s">
        <v>24</v>
      </c>
      <c r="M829" s="2" t="s">
        <v>36</v>
      </c>
      <c r="N829" s="2" t="s">
        <v>37</v>
      </c>
      <c r="O829" s="2" t="s">
        <v>47</v>
      </c>
      <c r="P829" s="2" t="s">
        <v>59</v>
      </c>
      <c r="Q829" s="2" t="s">
        <v>441</v>
      </c>
    </row>
    <row r="830" spans="1:17">
      <c r="A830" s="2" t="s">
        <v>1156</v>
      </c>
      <c r="B830" s="2" t="str">
        <f>[1]Sheet1!M830</f>
        <v>男</v>
      </c>
      <c r="C830" s="3" t="str" cm="1">
        <f t="array" ref="C8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30" s="2" t="str">
        <f>MID([1]Sheet1!F830,FIND("(",[1]Sheet1!F830)+1,FIND("-",[1]Sheet1!F830)-FIND("(",[1]Sheet1!F830)-1)</f>
        <v>福建</v>
      </c>
      <c r="E830" s="2" t="str">
        <f>MID([1]Sheet1!F830,FIND("-",[1]Sheet1!F830)+1,FIND(")",[1]Sheet1!F830)-FIND("-",[1]Sheet1!F830)-1)</f>
        <v>福州</v>
      </c>
      <c r="F830" s="2" t="s">
        <v>42</v>
      </c>
      <c r="G830" s="2" t="s">
        <v>50</v>
      </c>
      <c r="H830" s="2" t="s">
        <v>66</v>
      </c>
      <c r="I830" s="2" t="s">
        <v>120</v>
      </c>
      <c r="J830" s="2" t="s">
        <v>96</v>
      </c>
      <c r="K830" s="2" t="s">
        <v>397</v>
      </c>
      <c r="L830" s="2" t="s">
        <v>24</v>
      </c>
      <c r="M830" s="2" t="s">
        <v>67</v>
      </c>
      <c r="N830" s="2" t="s">
        <v>37</v>
      </c>
      <c r="O830" s="2" t="s">
        <v>450</v>
      </c>
      <c r="P830" s="2" t="s">
        <v>59</v>
      </c>
      <c r="Q830" s="2" t="s">
        <v>1157</v>
      </c>
    </row>
    <row r="831" spans="1:17">
      <c r="A831" s="2" t="s">
        <v>1158</v>
      </c>
      <c r="B831" s="2" t="str">
        <f>[1]Sheet1!M831</f>
        <v>男</v>
      </c>
      <c r="C831" s="3" t="str" cm="1">
        <f t="array" ref="C8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31" s="2" t="str">
        <f>MID([1]Sheet1!F831,FIND("(",[1]Sheet1!F831)+1,FIND("-",[1]Sheet1!F831)-FIND("(",[1]Sheet1!F831)-1)</f>
        <v>福建</v>
      </c>
      <c r="E831" s="2" t="str">
        <f>MID([1]Sheet1!F831,FIND("-",[1]Sheet1!F831)+1,FIND(")",[1]Sheet1!F831)-FIND("-",[1]Sheet1!F831)-1)</f>
        <v>厦门</v>
      </c>
      <c r="F831" s="2" t="s">
        <v>18</v>
      </c>
      <c r="G831" s="2" t="s">
        <v>162</v>
      </c>
      <c r="H831" s="2" t="s">
        <v>33</v>
      </c>
      <c r="I831" s="2" t="s">
        <v>43</v>
      </c>
      <c r="J831" s="2" t="s">
        <v>44</v>
      </c>
      <c r="K831" s="2" t="s">
        <v>121</v>
      </c>
      <c r="L831" s="2" t="s">
        <v>24</v>
      </c>
      <c r="M831" s="2" t="s">
        <v>45</v>
      </c>
      <c r="N831" s="2" t="s">
        <v>37</v>
      </c>
      <c r="O831" s="2" t="s">
        <v>47</v>
      </c>
      <c r="P831" s="2" t="s">
        <v>39</v>
      </c>
      <c r="Q831" s="2" t="s">
        <v>172</v>
      </c>
    </row>
    <row r="832" spans="1:17">
      <c r="A832" s="2" t="s">
        <v>1159</v>
      </c>
      <c r="B832" s="2" t="str">
        <f>[1]Sheet1!M832</f>
        <v>男</v>
      </c>
      <c r="C832" s="3" t="str" cm="1">
        <f t="array" ref="C8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32" s="2" t="str">
        <f>MID([1]Sheet1!F832,FIND("(",[1]Sheet1!F832)+1,FIND("-",[1]Sheet1!F832)-FIND("(",[1]Sheet1!F832)-1)</f>
        <v>四川</v>
      </c>
      <c r="E832" s="2" t="str">
        <f>MID([1]Sheet1!F832,FIND("-",[1]Sheet1!F832)+1,FIND(")",[1]Sheet1!F832)-FIND("-",[1]Sheet1!F832)-1)</f>
        <v>成都</v>
      </c>
      <c r="F832" s="2" t="s">
        <v>42</v>
      </c>
      <c r="G832" s="2" t="s">
        <v>81</v>
      </c>
      <c r="H832" s="2" t="s">
        <v>55</v>
      </c>
      <c r="I832" s="2" t="s">
        <v>34</v>
      </c>
      <c r="J832" s="2" t="s">
        <v>44</v>
      </c>
      <c r="K832" s="2" t="s">
        <v>169</v>
      </c>
      <c r="L832" s="2" t="s">
        <v>83</v>
      </c>
      <c r="M832" s="2" t="s">
        <v>84</v>
      </c>
      <c r="N832" s="2" t="s">
        <v>37</v>
      </c>
      <c r="O832" s="2" t="s">
        <v>58</v>
      </c>
      <c r="P832" s="2" t="s">
        <v>179</v>
      </c>
      <c r="Q832" s="2" t="s">
        <v>172</v>
      </c>
    </row>
    <row r="833" spans="1:17">
      <c r="A833" s="2" t="s">
        <v>1160</v>
      </c>
      <c r="B833" s="2" t="str">
        <f>[1]Sheet1!M833</f>
        <v>男</v>
      </c>
      <c r="C833" s="3" t="str" cm="1">
        <f t="array" ref="C8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33" s="2" t="str">
        <f>MID([1]Sheet1!F833,FIND("(",[1]Sheet1!F833)+1,FIND("-",[1]Sheet1!F833)-FIND("(",[1]Sheet1!F833)-1)</f>
        <v>甘肃</v>
      </c>
      <c r="E833" s="2" t="str">
        <f>MID([1]Sheet1!F833,FIND("-",[1]Sheet1!F833)+1,FIND(")",[1]Sheet1!F833)-FIND("-",[1]Sheet1!F833)-1)</f>
        <v>金昌</v>
      </c>
      <c r="F833" s="2" t="s">
        <v>42</v>
      </c>
      <c r="G833" s="2" t="s">
        <v>32</v>
      </c>
      <c r="H833" s="2" t="s">
        <v>66</v>
      </c>
      <c r="I833" s="2" t="s">
        <v>21</v>
      </c>
      <c r="J833" s="2" t="s">
        <v>82</v>
      </c>
      <c r="K833" s="2" t="s">
        <v>117</v>
      </c>
      <c r="L833" s="2" t="s">
        <v>24</v>
      </c>
      <c r="M833" s="2" t="s">
        <v>25</v>
      </c>
      <c r="N833" s="2" t="s">
        <v>46</v>
      </c>
      <c r="O833" s="2" t="s">
        <v>545</v>
      </c>
      <c r="P833" s="2" t="s">
        <v>39</v>
      </c>
      <c r="Q833" s="2" t="s">
        <v>1161</v>
      </c>
    </row>
    <row r="834" spans="1:17">
      <c r="A834" s="2" t="s">
        <v>1162</v>
      </c>
      <c r="B834" s="2" t="str">
        <f>[1]Sheet1!M834</f>
        <v>女</v>
      </c>
      <c r="C834" s="3" t="str" cm="1">
        <f t="array" ref="C8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834" s="2" t="str">
        <f>MID([1]Sheet1!F834,FIND("(",[1]Sheet1!F834)+1,FIND("-",[1]Sheet1!F834)-FIND("(",[1]Sheet1!F834)-1)</f>
        <v>辽宁</v>
      </c>
      <c r="E834" s="2" t="str">
        <f>MID([1]Sheet1!F834,FIND("-",[1]Sheet1!F834)+1,FIND(")",[1]Sheet1!F834)-FIND("-",[1]Sheet1!F834)-1)</f>
        <v>盘锦</v>
      </c>
      <c r="F834" s="2" t="s">
        <v>159</v>
      </c>
      <c r="G834" s="2" t="s">
        <v>32</v>
      </c>
      <c r="H834" s="2" t="s">
        <v>66</v>
      </c>
      <c r="I834" s="2" t="s">
        <v>73</v>
      </c>
      <c r="J834" s="2" t="s">
        <v>96</v>
      </c>
      <c r="K834" s="2" t="s">
        <v>223</v>
      </c>
      <c r="L834" s="2" t="s">
        <v>24</v>
      </c>
      <c r="M834" s="2" t="s">
        <v>36</v>
      </c>
      <c r="N834" s="2" t="s">
        <v>37</v>
      </c>
      <c r="O834" s="2" t="s">
        <v>47</v>
      </c>
      <c r="P834" s="2" t="s">
        <v>39</v>
      </c>
      <c r="Q834" s="2" t="s">
        <v>40</v>
      </c>
    </row>
    <row r="835" spans="1:17">
      <c r="A835" s="2" t="s">
        <v>1163</v>
      </c>
      <c r="B835" s="2" t="str">
        <f>[1]Sheet1!M835</f>
        <v>男</v>
      </c>
      <c r="C835" s="3" t="str" cm="1">
        <f t="array" ref="C8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35" s="2" t="str">
        <f>MID([1]Sheet1!F835,FIND("(",[1]Sheet1!F835)+1,FIND("-",[1]Sheet1!F835)-FIND("(",[1]Sheet1!F835)-1)</f>
        <v>浙江</v>
      </c>
      <c r="E835" s="2" t="str">
        <f>MID([1]Sheet1!F835,FIND("-",[1]Sheet1!F835)+1,FIND(")",[1]Sheet1!F835)-FIND("-",[1]Sheet1!F835)-1)</f>
        <v>杭州</v>
      </c>
      <c r="F835" s="2" t="s">
        <v>18</v>
      </c>
      <c r="G835" s="2" t="s">
        <v>81</v>
      </c>
      <c r="H835" s="2" t="s">
        <v>33</v>
      </c>
      <c r="I835" s="2" t="s">
        <v>21</v>
      </c>
      <c r="J835" s="2" t="s">
        <v>77</v>
      </c>
      <c r="K835" s="2" t="s">
        <v>117</v>
      </c>
      <c r="L835" s="2" t="s">
        <v>24</v>
      </c>
      <c r="M835" s="2" t="s">
        <v>126</v>
      </c>
      <c r="N835" s="2" t="s">
        <v>37</v>
      </c>
      <c r="O835" s="2" t="s">
        <v>79</v>
      </c>
      <c r="P835" s="2" t="s">
        <v>86</v>
      </c>
      <c r="Q835" s="2" t="s">
        <v>150</v>
      </c>
    </row>
    <row r="836" spans="1:17">
      <c r="A836" s="2" t="s">
        <v>1164</v>
      </c>
      <c r="B836" s="2" t="str">
        <f>[1]Sheet1!M836</f>
        <v>男</v>
      </c>
      <c r="C836" s="3" t="str" cm="1">
        <f t="array" ref="C8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36" s="2" t="str">
        <f>MID([1]Sheet1!F836,FIND("(",[1]Sheet1!F836)+1,FIND("-",[1]Sheet1!F836)-FIND("(",[1]Sheet1!F836)-1)</f>
        <v>四川</v>
      </c>
      <c r="E836" s="2" t="str">
        <f>MID([1]Sheet1!F836,FIND("-",[1]Sheet1!F836)+1,FIND(")",[1]Sheet1!F836)-FIND("-",[1]Sheet1!F836)-1)</f>
        <v>广元</v>
      </c>
      <c r="F836" s="2" t="s">
        <v>31</v>
      </c>
      <c r="G836" s="2" t="s">
        <v>50</v>
      </c>
      <c r="H836" s="2" t="s">
        <v>66</v>
      </c>
      <c r="I836" s="2" t="s">
        <v>43</v>
      </c>
      <c r="J836" s="2" t="s">
        <v>22</v>
      </c>
      <c r="K836" s="2" t="s">
        <v>117</v>
      </c>
      <c r="L836" s="2" t="s">
        <v>24</v>
      </c>
      <c r="M836" s="2" t="s">
        <v>905</v>
      </c>
      <c r="N836" s="2" t="s">
        <v>37</v>
      </c>
      <c r="O836" s="2" t="s">
        <v>204</v>
      </c>
      <c r="P836" s="2" t="s">
        <v>39</v>
      </c>
      <c r="Q836" s="2" t="s">
        <v>1097</v>
      </c>
    </row>
    <row r="837" spans="1:17">
      <c r="A837" s="2" t="s">
        <v>1165</v>
      </c>
      <c r="B837" s="2" t="str">
        <f>[1]Sheet1!M837</f>
        <v>男</v>
      </c>
      <c r="C837" s="3" t="str" cm="1">
        <f t="array" ref="C8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37" s="2" t="str">
        <f>MID([1]Sheet1!F837,FIND("(",[1]Sheet1!F837)+1,FIND("-",[1]Sheet1!F837)-FIND("(",[1]Sheet1!F837)-1)</f>
        <v>福建</v>
      </c>
      <c r="E837" s="2" t="str">
        <f>MID([1]Sheet1!F837,FIND("-",[1]Sheet1!F837)+1,FIND(")",[1]Sheet1!F837)-FIND("-",[1]Sheet1!F837)-1)</f>
        <v>福州</v>
      </c>
      <c r="F837" s="2" t="s">
        <v>159</v>
      </c>
      <c r="G837" s="2" t="s">
        <v>50</v>
      </c>
      <c r="H837" s="2" t="s">
        <v>20</v>
      </c>
      <c r="I837" s="2" t="s">
        <v>43</v>
      </c>
      <c r="J837" s="2" t="s">
        <v>82</v>
      </c>
      <c r="K837" s="2" t="s">
        <v>115</v>
      </c>
      <c r="L837" s="2" t="s">
        <v>24</v>
      </c>
      <c r="M837" s="2" t="s">
        <v>25</v>
      </c>
      <c r="N837" s="2" t="s">
        <v>37</v>
      </c>
      <c r="O837" s="2" t="s">
        <v>58</v>
      </c>
      <c r="P837" s="2" t="s">
        <v>179</v>
      </c>
      <c r="Q837" s="2" t="s">
        <v>356</v>
      </c>
    </row>
    <row r="838" spans="1:17">
      <c r="A838" s="2" t="s">
        <v>1166</v>
      </c>
      <c r="B838" s="2" t="str">
        <f>[1]Sheet1!M838</f>
        <v>男</v>
      </c>
      <c r="C838" s="3" t="str" cm="1">
        <f t="array" ref="C8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38" s="2" t="str">
        <f>MID([1]Sheet1!F838,FIND("(",[1]Sheet1!F838)+1,FIND("-",[1]Sheet1!F838)-FIND("(",[1]Sheet1!F838)-1)</f>
        <v>山东</v>
      </c>
      <c r="E838" s="2" t="str">
        <f>MID([1]Sheet1!F838,FIND("-",[1]Sheet1!F838)+1,FIND(")",[1]Sheet1!F838)-FIND("-",[1]Sheet1!F838)-1)</f>
        <v>聊城</v>
      </c>
      <c r="F838" s="2" t="s">
        <v>42</v>
      </c>
      <c r="G838" s="2" t="s">
        <v>50</v>
      </c>
      <c r="H838" s="2" t="s">
        <v>55</v>
      </c>
      <c r="I838" s="2" t="s">
        <v>51</v>
      </c>
      <c r="J838" s="2" t="s">
        <v>56</v>
      </c>
      <c r="K838" s="2" t="s">
        <v>115</v>
      </c>
      <c r="L838" s="2" t="s">
        <v>83</v>
      </c>
      <c r="M838" s="2" t="s">
        <v>78</v>
      </c>
      <c r="N838" s="2" t="s">
        <v>37</v>
      </c>
      <c r="O838" s="2" t="s">
        <v>58</v>
      </c>
      <c r="P838" s="2" t="s">
        <v>39</v>
      </c>
      <c r="Q838" s="2" t="s">
        <v>98</v>
      </c>
    </row>
    <row r="839" spans="1:17">
      <c r="A839" s="2" t="s">
        <v>1167</v>
      </c>
      <c r="B839" s="2" t="str">
        <f>[1]Sheet1!M839</f>
        <v>女</v>
      </c>
      <c r="C839" s="3" t="str" cm="1">
        <f t="array" ref="C8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39" s="2" t="str">
        <f>MID([1]Sheet1!F839,FIND("(",[1]Sheet1!F839)+1,FIND("-",[1]Sheet1!F839)-FIND("(",[1]Sheet1!F839)-1)</f>
        <v>甘肃</v>
      </c>
      <c r="E839" s="2" t="str">
        <f>MID([1]Sheet1!F839,FIND("-",[1]Sheet1!F839)+1,FIND(")",[1]Sheet1!F839)-FIND("-",[1]Sheet1!F839)-1)</f>
        <v>兰州</v>
      </c>
      <c r="F839" s="2" t="s">
        <v>31</v>
      </c>
      <c r="G839" s="2" t="s">
        <v>81</v>
      </c>
      <c r="H839" s="2" t="s">
        <v>66</v>
      </c>
      <c r="I839" s="2" t="s">
        <v>120</v>
      </c>
      <c r="J839" s="2" t="s">
        <v>96</v>
      </c>
      <c r="K839" s="2" t="s">
        <v>412</v>
      </c>
      <c r="L839" s="2" t="s">
        <v>24</v>
      </c>
      <c r="M839" s="2" t="s">
        <v>67</v>
      </c>
      <c r="N839" s="2" t="s">
        <v>37</v>
      </c>
      <c r="O839" s="2" t="s">
        <v>47</v>
      </c>
      <c r="P839" s="2" t="s">
        <v>28</v>
      </c>
      <c r="Q839" s="2" t="s">
        <v>1168</v>
      </c>
    </row>
    <row r="840" spans="1:17">
      <c r="A840" s="2" t="s">
        <v>1169</v>
      </c>
      <c r="B840" s="2" t="str">
        <f>[1]Sheet1!M840</f>
        <v>男</v>
      </c>
      <c r="C840" s="3" t="str" cm="1">
        <f t="array" ref="C8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40" s="2" t="str">
        <f>MID([1]Sheet1!F840,FIND("(",[1]Sheet1!F840)+1,FIND("-",[1]Sheet1!F840)-FIND("(",[1]Sheet1!F840)-1)</f>
        <v>江苏</v>
      </c>
      <c r="E840" s="2" t="str">
        <f>MID([1]Sheet1!F840,FIND("-",[1]Sheet1!F840)+1,FIND(")",[1]Sheet1!F840)-FIND("-",[1]Sheet1!F840)-1)</f>
        <v>镇江</v>
      </c>
      <c r="F840" s="2" t="s">
        <v>42</v>
      </c>
      <c r="G840" s="2" t="s">
        <v>81</v>
      </c>
      <c r="H840" s="2" t="s">
        <v>20</v>
      </c>
      <c r="I840" s="2" t="s">
        <v>51</v>
      </c>
      <c r="J840" s="2" t="s">
        <v>82</v>
      </c>
      <c r="K840" s="2" t="s">
        <v>117</v>
      </c>
      <c r="L840" s="2" t="s">
        <v>24</v>
      </c>
      <c r="M840" s="2" t="s">
        <v>57</v>
      </c>
      <c r="N840" s="2" t="s">
        <v>46</v>
      </c>
      <c r="O840" s="2" t="s">
        <v>27</v>
      </c>
      <c r="P840" s="2" t="s">
        <v>289</v>
      </c>
      <c r="Q840" s="2" t="s">
        <v>1170</v>
      </c>
    </row>
    <row r="841" spans="1:17">
      <c r="A841" s="2" t="s">
        <v>1171</v>
      </c>
      <c r="B841" s="2" t="str">
        <f>[1]Sheet1!M841</f>
        <v>男</v>
      </c>
      <c r="C841" s="3" t="str" cm="1">
        <f t="array" ref="C8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41" s="2" t="str">
        <f>MID([1]Sheet1!F841,FIND("(",[1]Sheet1!F841)+1,FIND("-",[1]Sheet1!F841)-FIND("(",[1]Sheet1!F841)-1)</f>
        <v>重庆</v>
      </c>
      <c r="E841" s="2" t="str">
        <f>MID([1]Sheet1!F841,FIND("-",[1]Sheet1!F841)+1,FIND(")",[1]Sheet1!F841)-FIND("-",[1]Sheet1!F841)-1)</f>
        <v>重庆</v>
      </c>
      <c r="F841" s="2" t="s">
        <v>18</v>
      </c>
      <c r="G841" s="2" t="s">
        <v>32</v>
      </c>
      <c r="H841" s="2" t="s">
        <v>66</v>
      </c>
      <c r="I841" s="2" t="s">
        <v>21</v>
      </c>
      <c r="J841" s="2" t="s">
        <v>77</v>
      </c>
      <c r="K841" s="2" t="s">
        <v>217</v>
      </c>
      <c r="L841" s="2" t="s">
        <v>24</v>
      </c>
      <c r="M841" s="2" t="s">
        <v>36</v>
      </c>
      <c r="N841" s="2" t="s">
        <v>37</v>
      </c>
      <c r="O841" s="2" t="s">
        <v>27</v>
      </c>
      <c r="P841" s="2" t="s">
        <v>218</v>
      </c>
      <c r="Q841" s="2" t="s">
        <v>29</v>
      </c>
    </row>
    <row r="842" spans="1:17">
      <c r="A842" s="2" t="s">
        <v>1172</v>
      </c>
      <c r="B842" s="2" t="str">
        <f>[1]Sheet1!M842</f>
        <v>女</v>
      </c>
      <c r="C842" s="3" t="str" cm="1">
        <f t="array" ref="C8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42" s="2" t="str">
        <f>MID([1]Sheet1!F842,FIND("(",[1]Sheet1!F842)+1,FIND("-",[1]Sheet1!F842)-FIND("(",[1]Sheet1!F842)-1)</f>
        <v>宁夏</v>
      </c>
      <c r="E842" s="2" t="str">
        <f>MID([1]Sheet1!F842,FIND("-",[1]Sheet1!F842)+1,FIND(")",[1]Sheet1!F842)-FIND("-",[1]Sheet1!F842)-1)</f>
        <v>银川</v>
      </c>
      <c r="F842" s="2" t="s">
        <v>42</v>
      </c>
      <c r="G842" s="2" t="s">
        <v>32</v>
      </c>
      <c r="H842" s="2" t="s">
        <v>66</v>
      </c>
      <c r="I842" s="2" t="s">
        <v>34</v>
      </c>
      <c r="J842" s="2" t="s">
        <v>56</v>
      </c>
      <c r="K842" s="2" t="s">
        <v>115</v>
      </c>
      <c r="L842" s="2" t="s">
        <v>24</v>
      </c>
      <c r="M842" s="2" t="s">
        <v>36</v>
      </c>
      <c r="N842" s="2" t="s">
        <v>85</v>
      </c>
      <c r="O842" s="2" t="s">
        <v>58</v>
      </c>
      <c r="P842" s="2" t="s">
        <v>63</v>
      </c>
      <c r="Q842" s="2" t="s">
        <v>1021</v>
      </c>
    </row>
    <row r="843" spans="1:17">
      <c r="A843" s="2" t="s">
        <v>1173</v>
      </c>
      <c r="B843" s="2" t="str">
        <f>[1]Sheet1!M843</f>
        <v>男</v>
      </c>
      <c r="C843" s="3" t="str" cm="1">
        <f t="array" ref="C8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43" s="2" t="str">
        <f>MID([1]Sheet1!F843,FIND("(",[1]Sheet1!F843)+1,FIND("-",[1]Sheet1!F843)-FIND("(",[1]Sheet1!F843)-1)</f>
        <v>重庆</v>
      </c>
      <c r="E843" s="2" t="str">
        <f>MID([1]Sheet1!F843,FIND("-",[1]Sheet1!F843)+1,FIND(")",[1]Sheet1!F843)-FIND("-",[1]Sheet1!F843)-1)</f>
        <v>重庆</v>
      </c>
      <c r="F843" s="2" t="s">
        <v>42</v>
      </c>
      <c r="G843" s="2" t="s">
        <v>32</v>
      </c>
      <c r="H843" s="2" t="s">
        <v>20</v>
      </c>
      <c r="I843" s="2" t="s">
        <v>43</v>
      </c>
      <c r="J843" s="2" t="s">
        <v>82</v>
      </c>
      <c r="K843" s="2" t="s">
        <v>240</v>
      </c>
      <c r="L843" s="2" t="s">
        <v>24</v>
      </c>
      <c r="M843" s="2" t="s">
        <v>25</v>
      </c>
      <c r="N843" s="2" t="s">
        <v>46</v>
      </c>
      <c r="O843" s="2" t="s">
        <v>47</v>
      </c>
      <c r="P843" s="2" t="s">
        <v>39</v>
      </c>
      <c r="Q843" s="2" t="s">
        <v>1174</v>
      </c>
    </row>
    <row r="844" spans="1:17">
      <c r="A844" s="2" t="s">
        <v>1175</v>
      </c>
      <c r="B844" s="2" t="str">
        <f>[1]Sheet1!M844</f>
        <v>男</v>
      </c>
      <c r="C844" s="3" t="str" cm="1">
        <f t="array" ref="C8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44" s="2" t="str">
        <f>MID([1]Sheet1!F844,FIND("(",[1]Sheet1!F844)+1,FIND("-",[1]Sheet1!F844)-FIND("(",[1]Sheet1!F844)-1)</f>
        <v>福建</v>
      </c>
      <c r="E844" s="2" t="str">
        <f>MID([1]Sheet1!F844,FIND("-",[1]Sheet1!F844)+1,FIND(")",[1]Sheet1!F844)-FIND("-",[1]Sheet1!F844)-1)</f>
        <v>宁德</v>
      </c>
      <c r="F844" s="2" t="s">
        <v>42</v>
      </c>
      <c r="G844" s="2" t="s">
        <v>114</v>
      </c>
      <c r="H844" s="2" t="s">
        <v>66</v>
      </c>
      <c r="I844" s="2" t="s">
        <v>51</v>
      </c>
      <c r="J844" s="2" t="s">
        <v>82</v>
      </c>
      <c r="K844" s="2" t="s">
        <v>130</v>
      </c>
      <c r="L844" s="2" t="s">
        <v>24</v>
      </c>
      <c r="M844" s="2" t="s">
        <v>25</v>
      </c>
      <c r="N844" s="2" t="s">
        <v>37</v>
      </c>
      <c r="O844" s="2" t="s">
        <v>106</v>
      </c>
      <c r="P844" s="2" t="s">
        <v>28</v>
      </c>
      <c r="Q844" s="2" t="s">
        <v>1176</v>
      </c>
    </row>
    <row r="845" spans="1:17">
      <c r="A845" s="2" t="s">
        <v>1177</v>
      </c>
      <c r="B845" s="2" t="str">
        <f>[1]Sheet1!M845</f>
        <v>男</v>
      </c>
      <c r="C845" s="3" t="str" cm="1">
        <f t="array" ref="C8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845" s="2" t="str">
        <f>MID([1]Sheet1!F845,FIND("(",[1]Sheet1!F845)+1,FIND("-",[1]Sheet1!F845)-FIND("(",[1]Sheet1!F845)-1)</f>
        <v>内蒙古</v>
      </c>
      <c r="E845" s="2" t="str">
        <f>MID([1]Sheet1!F845,FIND("-",[1]Sheet1!F845)+1,FIND(")",[1]Sheet1!F845)-FIND("-",[1]Sheet1!F845)-1)</f>
        <v>呼和浩特</v>
      </c>
      <c r="F845" s="2" t="s">
        <v>42</v>
      </c>
      <c r="G845" s="2" t="s">
        <v>50</v>
      </c>
      <c r="H845" s="2" t="s">
        <v>66</v>
      </c>
      <c r="I845" s="2" t="s">
        <v>51</v>
      </c>
      <c r="J845" s="2" t="s">
        <v>77</v>
      </c>
      <c r="K845" s="2" t="s">
        <v>115</v>
      </c>
      <c r="L845" s="2" t="s">
        <v>24</v>
      </c>
      <c r="M845" s="2" t="s">
        <v>448</v>
      </c>
      <c r="N845" s="2" t="s">
        <v>37</v>
      </c>
      <c r="O845" s="2" t="s">
        <v>27</v>
      </c>
      <c r="P845" s="2" t="s">
        <v>63</v>
      </c>
      <c r="Q845" s="2" t="s">
        <v>1178</v>
      </c>
    </row>
    <row r="846" spans="1:17">
      <c r="A846" s="2" t="s">
        <v>1179</v>
      </c>
      <c r="B846" s="2" t="str">
        <f>[1]Sheet1!M846</f>
        <v>女</v>
      </c>
      <c r="C846" s="3" t="str" cm="1">
        <f t="array" ref="C8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46" s="2" t="str">
        <f>MID([1]Sheet1!F846,FIND("(",[1]Sheet1!F846)+1,FIND("-",[1]Sheet1!F846)-FIND("(",[1]Sheet1!F846)-1)</f>
        <v>河南</v>
      </c>
      <c r="E846" s="2" t="str">
        <f>MID([1]Sheet1!F846,FIND("-",[1]Sheet1!F846)+1,FIND(")",[1]Sheet1!F846)-FIND("-",[1]Sheet1!F846)-1)</f>
        <v>信阳</v>
      </c>
      <c r="F846" s="2" t="s">
        <v>42</v>
      </c>
      <c r="G846" s="2" t="s">
        <v>81</v>
      </c>
      <c r="H846" s="2" t="s">
        <v>66</v>
      </c>
      <c r="I846" s="2" t="s">
        <v>51</v>
      </c>
      <c r="J846" s="2" t="s">
        <v>22</v>
      </c>
      <c r="K846" s="2" t="s">
        <v>121</v>
      </c>
      <c r="L846" s="2" t="s">
        <v>24</v>
      </c>
      <c r="M846" s="2" t="s">
        <v>78</v>
      </c>
      <c r="N846" s="2" t="s">
        <v>37</v>
      </c>
      <c r="O846" s="2" t="s">
        <v>47</v>
      </c>
      <c r="P846" s="2" t="s">
        <v>39</v>
      </c>
      <c r="Q846" s="2" t="s">
        <v>789</v>
      </c>
    </row>
    <row r="847" spans="1:17">
      <c r="A847" s="2" t="s">
        <v>1180</v>
      </c>
      <c r="B847" s="2" t="str">
        <f>[1]Sheet1!M847</f>
        <v>女</v>
      </c>
      <c r="C847" s="3" t="str" cm="1">
        <f t="array" ref="C8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47" s="2" t="str">
        <f>MID([1]Sheet1!F847,FIND("(",[1]Sheet1!F847)+1,FIND("-",[1]Sheet1!F847)-FIND("(",[1]Sheet1!F847)-1)</f>
        <v>安徽</v>
      </c>
      <c r="E847" s="2" t="str">
        <f>MID([1]Sheet1!F847,FIND("-",[1]Sheet1!F847)+1,FIND(")",[1]Sheet1!F847)-FIND("-",[1]Sheet1!F847)-1)</f>
        <v>滁州</v>
      </c>
      <c r="F847" s="2" t="s">
        <v>18</v>
      </c>
      <c r="G847" s="2" t="s">
        <v>81</v>
      </c>
      <c r="H847" s="2" t="s">
        <v>20</v>
      </c>
      <c r="I847" s="2" t="s">
        <v>21</v>
      </c>
      <c r="J847" s="2" t="s">
        <v>82</v>
      </c>
      <c r="K847" s="2" t="s">
        <v>537</v>
      </c>
      <c r="L847" s="2" t="s">
        <v>24</v>
      </c>
      <c r="M847" s="2" t="s">
        <v>36</v>
      </c>
      <c r="N847" s="2" t="s">
        <v>37</v>
      </c>
      <c r="O847" s="2" t="s">
        <v>152</v>
      </c>
      <c r="P847" s="2" t="s">
        <v>39</v>
      </c>
      <c r="Q847" s="2" t="s">
        <v>103</v>
      </c>
    </row>
    <row r="848" spans="1:17">
      <c r="A848" s="2" t="s">
        <v>1181</v>
      </c>
      <c r="B848" s="2" t="str">
        <f>[1]Sheet1!M848</f>
        <v>男</v>
      </c>
      <c r="C848" s="3" t="str" cm="1">
        <f t="array" ref="C8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48" s="2" t="str">
        <f>MID([1]Sheet1!F848,FIND("(",[1]Sheet1!F848)+1,FIND("-",[1]Sheet1!F848)-FIND("(",[1]Sheet1!F848)-1)</f>
        <v>河南</v>
      </c>
      <c r="E848" s="2" t="str">
        <f>MID([1]Sheet1!F848,FIND("-",[1]Sheet1!F848)+1,FIND(")",[1]Sheet1!F848)-FIND("-",[1]Sheet1!F848)-1)</f>
        <v>焦作</v>
      </c>
      <c r="F848" s="2" t="s">
        <v>31</v>
      </c>
      <c r="G848" s="2" t="s">
        <v>50</v>
      </c>
      <c r="H848" s="2" t="s">
        <v>20</v>
      </c>
      <c r="I848" s="2" t="s">
        <v>21</v>
      </c>
      <c r="J848" s="2" t="s">
        <v>22</v>
      </c>
      <c r="K848" s="2" t="s">
        <v>115</v>
      </c>
      <c r="L848" s="2" t="s">
        <v>24</v>
      </c>
      <c r="M848" s="2" t="s">
        <v>92</v>
      </c>
      <c r="N848" s="2" t="s">
        <v>37</v>
      </c>
      <c r="O848" s="2" t="s">
        <v>97</v>
      </c>
      <c r="P848" s="2" t="s">
        <v>179</v>
      </c>
      <c r="Q848" s="2" t="s">
        <v>819</v>
      </c>
    </row>
    <row r="849" spans="1:17">
      <c r="A849" s="2" t="s">
        <v>1182</v>
      </c>
      <c r="B849" s="2" t="str">
        <f>[1]Sheet1!M849</f>
        <v>男</v>
      </c>
      <c r="C849" s="3" t="str" cm="1">
        <f t="array" ref="C8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49" s="2" t="str">
        <f>MID([1]Sheet1!F849,FIND("(",[1]Sheet1!F849)+1,FIND("-",[1]Sheet1!F849)-FIND("(",[1]Sheet1!F849)-1)</f>
        <v>湖北</v>
      </c>
      <c r="E849" s="2" t="str">
        <f>MID([1]Sheet1!F849,FIND("-",[1]Sheet1!F849)+1,FIND(")",[1]Sheet1!F849)-FIND("-",[1]Sheet1!F849)-1)</f>
        <v>武汉</v>
      </c>
      <c r="F849" s="2" t="s">
        <v>31</v>
      </c>
      <c r="G849" s="2" t="s">
        <v>32</v>
      </c>
      <c r="H849" s="2" t="s">
        <v>55</v>
      </c>
      <c r="I849" s="2" t="s">
        <v>120</v>
      </c>
      <c r="J849" s="2" t="s">
        <v>96</v>
      </c>
      <c r="K849" s="2" t="s">
        <v>121</v>
      </c>
      <c r="L849" s="2" t="s">
        <v>83</v>
      </c>
      <c r="M849" s="2" t="s">
        <v>36</v>
      </c>
      <c r="N849" s="2" t="s">
        <v>37</v>
      </c>
      <c r="O849" s="2" t="s">
        <v>204</v>
      </c>
      <c r="P849" s="2" t="s">
        <v>39</v>
      </c>
      <c r="Q849" s="2" t="s">
        <v>555</v>
      </c>
    </row>
    <row r="850" spans="1:17">
      <c r="A850" s="2" t="s">
        <v>1183</v>
      </c>
      <c r="B850" s="2" t="str">
        <f>[1]Sheet1!M850</f>
        <v>男</v>
      </c>
      <c r="C850" s="3" t="str" cm="1">
        <f t="array" ref="C8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50" s="2" t="str">
        <f>MID([1]Sheet1!F850,FIND("(",[1]Sheet1!F850)+1,FIND("-",[1]Sheet1!F850)-FIND("(",[1]Sheet1!F850)-1)</f>
        <v>浙江</v>
      </c>
      <c r="E850" s="2" t="str">
        <f>MID([1]Sheet1!F850,FIND("-",[1]Sheet1!F850)+1,FIND(")",[1]Sheet1!F850)-FIND("-",[1]Sheet1!F850)-1)</f>
        <v>温州</v>
      </c>
      <c r="F850" s="2" t="s">
        <v>18</v>
      </c>
      <c r="G850" s="2" t="s">
        <v>32</v>
      </c>
      <c r="H850" s="2" t="s">
        <v>55</v>
      </c>
      <c r="I850" s="2" t="s">
        <v>211</v>
      </c>
      <c r="J850" s="2" t="s">
        <v>96</v>
      </c>
      <c r="K850" s="2" t="s">
        <v>223</v>
      </c>
      <c r="L850" s="2" t="s">
        <v>24</v>
      </c>
      <c r="M850" s="2" t="s">
        <v>36</v>
      </c>
      <c r="N850" s="2" t="s">
        <v>85</v>
      </c>
      <c r="O850" s="2" t="s">
        <v>27</v>
      </c>
      <c r="P850" s="2" t="s">
        <v>218</v>
      </c>
      <c r="Q850" s="2" t="s">
        <v>1184</v>
      </c>
    </row>
    <row r="851" spans="1:17">
      <c r="A851" s="2" t="s">
        <v>1185</v>
      </c>
      <c r="B851" s="2" t="str">
        <f>[1]Sheet1!M851</f>
        <v>男</v>
      </c>
      <c r="C851" s="3" t="str" cm="1">
        <f t="array" ref="C8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51" s="2" t="str">
        <f>MID([1]Sheet1!F851,FIND("(",[1]Sheet1!F851)+1,FIND("-",[1]Sheet1!F851)-FIND("(",[1]Sheet1!F851)-1)</f>
        <v>重庆</v>
      </c>
      <c r="E851" s="2" t="str">
        <f>MID([1]Sheet1!F851,FIND("-",[1]Sheet1!F851)+1,FIND(")",[1]Sheet1!F851)-FIND("-",[1]Sheet1!F851)-1)</f>
        <v>重庆</v>
      </c>
      <c r="F851" s="2" t="s">
        <v>18</v>
      </c>
      <c r="G851" s="2" t="s">
        <v>32</v>
      </c>
      <c r="H851" s="2" t="s">
        <v>66</v>
      </c>
      <c r="I851" s="2" t="s">
        <v>34</v>
      </c>
      <c r="J851" s="2" t="s">
        <v>96</v>
      </c>
      <c r="K851" s="2" t="s">
        <v>115</v>
      </c>
      <c r="L851" s="2" t="s">
        <v>24</v>
      </c>
      <c r="M851" s="2" t="s">
        <v>905</v>
      </c>
      <c r="N851" s="2" t="s">
        <v>37</v>
      </c>
      <c r="O851" s="2" t="s">
        <v>58</v>
      </c>
      <c r="P851" s="2" t="s">
        <v>59</v>
      </c>
      <c r="Q851" s="2" t="s">
        <v>887</v>
      </c>
    </row>
    <row r="852" spans="1:17">
      <c r="A852" s="2" t="s">
        <v>1186</v>
      </c>
      <c r="B852" s="2" t="str">
        <f>[1]Sheet1!M852</f>
        <v>男</v>
      </c>
      <c r="C852" s="3" t="str" cm="1">
        <f t="array" ref="C8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52" s="2" t="str">
        <f>MID([1]Sheet1!F852,FIND("(",[1]Sheet1!F852)+1,FIND("-",[1]Sheet1!F852)-FIND("(",[1]Sheet1!F852)-1)</f>
        <v>浙江</v>
      </c>
      <c r="E852" s="2" t="str">
        <f>MID([1]Sheet1!F852,FIND("-",[1]Sheet1!F852)+1,FIND(")",[1]Sheet1!F852)-FIND("-",[1]Sheet1!F852)-1)</f>
        <v>杭州</v>
      </c>
      <c r="F852" s="2" t="s">
        <v>42</v>
      </c>
      <c r="G852" s="2" t="s">
        <v>50</v>
      </c>
      <c r="H852" s="2" t="s">
        <v>33</v>
      </c>
      <c r="I852" s="2" t="s">
        <v>43</v>
      </c>
      <c r="J852" s="2" t="s">
        <v>82</v>
      </c>
      <c r="K852" s="2" t="s">
        <v>117</v>
      </c>
      <c r="L852" s="2" t="s">
        <v>24</v>
      </c>
      <c r="M852" s="2" t="s">
        <v>143</v>
      </c>
      <c r="N852" s="2" t="s">
        <v>37</v>
      </c>
      <c r="O852" s="2" t="s">
        <v>47</v>
      </c>
      <c r="P852" s="2" t="s">
        <v>63</v>
      </c>
      <c r="Q852" s="2" t="s">
        <v>1187</v>
      </c>
    </row>
    <row r="853" spans="1:17">
      <c r="A853" s="2" t="s">
        <v>1188</v>
      </c>
      <c r="B853" s="2" t="str">
        <f>[1]Sheet1!M853</f>
        <v>男</v>
      </c>
      <c r="C853" s="3" t="str" cm="1">
        <f t="array" ref="C8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53" s="2" t="str">
        <f>MID([1]Sheet1!F853,FIND("(",[1]Sheet1!F853)+1,FIND("-",[1]Sheet1!F853)-FIND("(",[1]Sheet1!F853)-1)</f>
        <v>甘肃</v>
      </c>
      <c r="E853" s="2" t="str">
        <f>MID([1]Sheet1!F853,FIND("-",[1]Sheet1!F853)+1,FIND(")",[1]Sheet1!F853)-FIND("-",[1]Sheet1!F853)-1)</f>
        <v>庆阳</v>
      </c>
      <c r="F853" s="2" t="s">
        <v>31</v>
      </c>
      <c r="G853" s="2" t="s">
        <v>50</v>
      </c>
      <c r="H853" s="2" t="s">
        <v>20</v>
      </c>
      <c r="I853" s="2" t="s">
        <v>21</v>
      </c>
      <c r="J853" s="2" t="s">
        <v>77</v>
      </c>
      <c r="K853" s="2" t="s">
        <v>121</v>
      </c>
      <c r="L853" s="2" t="s">
        <v>24</v>
      </c>
      <c r="M853" s="2" t="s">
        <v>78</v>
      </c>
      <c r="N853" s="2" t="s">
        <v>37</v>
      </c>
      <c r="O853" s="2" t="s">
        <v>47</v>
      </c>
      <c r="P853" s="2" t="s">
        <v>63</v>
      </c>
      <c r="Q853" s="2" t="s">
        <v>29</v>
      </c>
    </row>
    <row r="854" spans="1:17">
      <c r="A854" s="2" t="s">
        <v>1189</v>
      </c>
      <c r="B854" s="2" t="str">
        <f>[1]Sheet1!M854</f>
        <v>男</v>
      </c>
      <c r="C854" s="3" t="str" cm="1">
        <f t="array" ref="C8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54" s="2" t="str">
        <f>MID([1]Sheet1!F854,FIND("(",[1]Sheet1!F854)+1,FIND("-",[1]Sheet1!F854)-FIND("(",[1]Sheet1!F854)-1)</f>
        <v>山东</v>
      </c>
      <c r="E854" s="2" t="str">
        <f>MID([1]Sheet1!F854,FIND("-",[1]Sheet1!F854)+1,FIND(")",[1]Sheet1!F854)-FIND("-",[1]Sheet1!F854)-1)</f>
        <v>枣庄</v>
      </c>
      <c r="F854" s="2" t="s">
        <v>159</v>
      </c>
      <c r="G854" s="2" t="s">
        <v>50</v>
      </c>
      <c r="H854" s="2" t="s">
        <v>20</v>
      </c>
      <c r="I854" s="2" t="s">
        <v>21</v>
      </c>
      <c r="J854" s="2" t="s">
        <v>77</v>
      </c>
      <c r="K854" s="2" t="s">
        <v>169</v>
      </c>
      <c r="L854" s="2" t="s">
        <v>24</v>
      </c>
      <c r="M854" s="2" t="s">
        <v>92</v>
      </c>
      <c r="N854" s="2" t="s">
        <v>26</v>
      </c>
      <c r="O854" s="2" t="s">
        <v>58</v>
      </c>
      <c r="P854" s="2" t="s">
        <v>28</v>
      </c>
      <c r="Q854" s="2" t="s">
        <v>172</v>
      </c>
    </row>
    <row r="855" spans="1:17">
      <c r="A855" s="2" t="s">
        <v>1189</v>
      </c>
      <c r="B855" s="2" t="str">
        <f>[1]Sheet1!M855</f>
        <v>男</v>
      </c>
      <c r="C855" s="3" t="str" cm="1">
        <f t="array" ref="C8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55" s="2" t="str">
        <f>MID([1]Sheet1!F855,FIND("(",[1]Sheet1!F855)+1,FIND("-",[1]Sheet1!F855)-FIND("(",[1]Sheet1!F855)-1)</f>
        <v>山东</v>
      </c>
      <c r="E855" s="2" t="str">
        <f>MID([1]Sheet1!F855,FIND("-",[1]Sheet1!F855)+1,FIND(")",[1]Sheet1!F855)-FIND("-",[1]Sheet1!F855)-1)</f>
        <v>枣庄</v>
      </c>
      <c r="F855" s="2" t="s">
        <v>159</v>
      </c>
      <c r="G855" s="2" t="s">
        <v>19</v>
      </c>
      <c r="H855" s="2" t="s">
        <v>20</v>
      </c>
      <c r="I855" s="2" t="s">
        <v>21</v>
      </c>
      <c r="J855" s="2" t="s">
        <v>77</v>
      </c>
      <c r="K855" s="2" t="s">
        <v>169</v>
      </c>
      <c r="L855" s="2" t="s">
        <v>24</v>
      </c>
      <c r="M855" s="2" t="s">
        <v>92</v>
      </c>
      <c r="N855" s="2" t="s">
        <v>26</v>
      </c>
      <c r="O855" s="2" t="s">
        <v>58</v>
      </c>
      <c r="P855" s="2" t="s">
        <v>28</v>
      </c>
      <c r="Q855" s="2" t="s">
        <v>172</v>
      </c>
    </row>
    <row r="856" spans="1:17">
      <c r="A856" s="2" t="s">
        <v>1190</v>
      </c>
      <c r="B856" s="2" t="str">
        <f>[1]Sheet1!M856</f>
        <v>男</v>
      </c>
      <c r="C856" s="3" t="str" cm="1">
        <f t="array" ref="C8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56" s="2" t="str">
        <f>MID([1]Sheet1!F856,FIND("(",[1]Sheet1!F856)+1,FIND("-",[1]Sheet1!F856)-FIND("(",[1]Sheet1!F856)-1)</f>
        <v>四川</v>
      </c>
      <c r="E856" s="2" t="str">
        <f>MID([1]Sheet1!F856,FIND("-",[1]Sheet1!F856)+1,FIND(")",[1]Sheet1!F856)-FIND("-",[1]Sheet1!F856)-1)</f>
        <v>成都</v>
      </c>
      <c r="F856" s="2" t="s">
        <v>31</v>
      </c>
      <c r="G856" s="2" t="s">
        <v>50</v>
      </c>
      <c r="H856" s="2" t="s">
        <v>66</v>
      </c>
      <c r="I856" s="2" t="s">
        <v>43</v>
      </c>
      <c r="J856" s="2" t="s">
        <v>96</v>
      </c>
      <c r="K856" s="2" t="s">
        <v>240</v>
      </c>
      <c r="L856" s="2" t="s">
        <v>24</v>
      </c>
      <c r="M856" s="2" t="s">
        <v>36</v>
      </c>
      <c r="N856" s="2" t="s">
        <v>37</v>
      </c>
      <c r="O856" s="2" t="s">
        <v>1191</v>
      </c>
      <c r="P856" s="2" t="s">
        <v>218</v>
      </c>
      <c r="Q856" s="2" t="s">
        <v>1192</v>
      </c>
    </row>
    <row r="857" spans="1:17">
      <c r="A857" s="2" t="s">
        <v>1193</v>
      </c>
      <c r="B857" s="2" t="str">
        <f>[1]Sheet1!M857</f>
        <v>女</v>
      </c>
      <c r="C857" s="3" t="str" cm="1">
        <f t="array" ref="C8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57" s="2" t="str">
        <f>MID([1]Sheet1!F857,FIND("(",[1]Sheet1!F857)+1,FIND("-",[1]Sheet1!F857)-FIND("(",[1]Sheet1!F857)-1)</f>
        <v>广东</v>
      </c>
      <c r="E857" s="2" t="str">
        <f>MID([1]Sheet1!F857,FIND("-",[1]Sheet1!F857)+1,FIND(")",[1]Sheet1!F857)-FIND("-",[1]Sheet1!F857)-1)</f>
        <v>广州</v>
      </c>
      <c r="F857" s="2" t="s">
        <v>18</v>
      </c>
      <c r="G857" s="2" t="s">
        <v>81</v>
      </c>
      <c r="H857" s="2" t="s">
        <v>66</v>
      </c>
      <c r="I857" s="2" t="s">
        <v>120</v>
      </c>
      <c r="J857" s="2" t="s">
        <v>96</v>
      </c>
      <c r="K857" s="2" t="s">
        <v>115</v>
      </c>
      <c r="L857" s="2" t="s">
        <v>83</v>
      </c>
      <c r="M857" s="2" t="s">
        <v>36</v>
      </c>
      <c r="N857" s="2" t="s">
        <v>46</v>
      </c>
      <c r="O857" s="2" t="s">
        <v>47</v>
      </c>
      <c r="P857" s="2" t="s">
        <v>28</v>
      </c>
      <c r="Q857" s="2" t="s">
        <v>1133</v>
      </c>
    </row>
    <row r="858" spans="1:17">
      <c r="A858" s="2" t="s">
        <v>956</v>
      </c>
      <c r="B858" s="2" t="str">
        <f>[1]Sheet1!M858</f>
        <v>男</v>
      </c>
      <c r="C858" s="3" t="str" cm="1">
        <f t="array" ref="C8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58" s="2" t="str">
        <f>MID([1]Sheet1!F858,FIND("(",[1]Sheet1!F858)+1,FIND("-",[1]Sheet1!F858)-FIND("(",[1]Sheet1!F858)-1)</f>
        <v>江苏</v>
      </c>
      <c r="E858" s="2" t="str">
        <f>MID([1]Sheet1!F858,FIND("-",[1]Sheet1!F858)+1,FIND(")",[1]Sheet1!F858)-FIND("-",[1]Sheet1!F858)-1)</f>
        <v>镇江</v>
      </c>
      <c r="F858" s="2" t="s">
        <v>159</v>
      </c>
      <c r="G858" s="2" t="s">
        <v>50</v>
      </c>
      <c r="H858" s="2" t="s">
        <v>33</v>
      </c>
      <c r="I858" s="2" t="s">
        <v>51</v>
      </c>
      <c r="J858" s="2" t="s">
        <v>82</v>
      </c>
      <c r="K858" s="2" t="s">
        <v>117</v>
      </c>
      <c r="L858" s="2" t="s">
        <v>24</v>
      </c>
      <c r="M858" s="2" t="s">
        <v>143</v>
      </c>
      <c r="N858" s="2" t="s">
        <v>37</v>
      </c>
      <c r="O858" s="2" t="s">
        <v>62</v>
      </c>
      <c r="P858" s="2" t="s">
        <v>86</v>
      </c>
      <c r="Q858" s="2" t="s">
        <v>98</v>
      </c>
    </row>
    <row r="859" spans="1:17">
      <c r="A859" s="2" t="s">
        <v>243</v>
      </c>
      <c r="B859" s="2" t="str">
        <f>[1]Sheet1!M859</f>
        <v>男</v>
      </c>
      <c r="C859" s="3" t="str" cm="1">
        <f t="array" ref="C8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59" s="2" t="str">
        <f>MID([1]Sheet1!F859,FIND("(",[1]Sheet1!F859)+1,FIND("-",[1]Sheet1!F859)-FIND("(",[1]Sheet1!F859)-1)</f>
        <v>河南</v>
      </c>
      <c r="E859" s="2" t="str">
        <f>MID([1]Sheet1!F859,FIND("-",[1]Sheet1!F859)+1,FIND(")",[1]Sheet1!F859)-FIND("-",[1]Sheet1!F859)-1)</f>
        <v>开封</v>
      </c>
      <c r="F859" s="2" t="s">
        <v>42</v>
      </c>
      <c r="G859" s="2" t="s">
        <v>19</v>
      </c>
      <c r="H859" s="2" t="s">
        <v>20</v>
      </c>
      <c r="I859" s="2" t="s">
        <v>51</v>
      </c>
      <c r="J859" s="2" t="s">
        <v>82</v>
      </c>
      <c r="K859" s="2" t="s">
        <v>397</v>
      </c>
      <c r="L859" s="2" t="s">
        <v>83</v>
      </c>
      <c r="M859" s="2" t="s">
        <v>111</v>
      </c>
      <c r="N859" s="2" t="s">
        <v>26</v>
      </c>
      <c r="O859" s="2" t="s">
        <v>1007</v>
      </c>
      <c r="P859" s="2" t="s">
        <v>39</v>
      </c>
      <c r="Q859" s="2" t="s">
        <v>172</v>
      </c>
    </row>
    <row r="860" spans="1:17">
      <c r="A860" s="2" t="s">
        <v>1194</v>
      </c>
      <c r="B860" s="2" t="str">
        <f>[1]Sheet1!M860</f>
        <v>男</v>
      </c>
      <c r="C860" s="3" t="str" cm="1">
        <f t="array" ref="C8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60" s="2" t="str">
        <f>MID([1]Sheet1!F860,FIND("(",[1]Sheet1!F860)+1,FIND("-",[1]Sheet1!F860)-FIND("(",[1]Sheet1!F860)-1)</f>
        <v>四川</v>
      </c>
      <c r="E860" s="2" t="str">
        <f>MID([1]Sheet1!F860,FIND("-",[1]Sheet1!F860)+1,FIND(")",[1]Sheet1!F860)-FIND("-",[1]Sheet1!F860)-1)</f>
        <v>成都</v>
      </c>
      <c r="F860" s="2" t="s">
        <v>42</v>
      </c>
      <c r="G860" s="2" t="s">
        <v>19</v>
      </c>
      <c r="H860" s="2" t="s">
        <v>33</v>
      </c>
      <c r="I860" s="2" t="s">
        <v>43</v>
      </c>
      <c r="J860" s="2" t="s">
        <v>82</v>
      </c>
      <c r="K860" s="2" t="s">
        <v>121</v>
      </c>
      <c r="L860" s="2" t="s">
        <v>24</v>
      </c>
      <c r="M860" s="2" t="s">
        <v>36</v>
      </c>
      <c r="N860" s="2" t="s">
        <v>37</v>
      </c>
      <c r="O860" s="2" t="s">
        <v>202</v>
      </c>
      <c r="P860" s="2" t="s">
        <v>289</v>
      </c>
      <c r="Q860" s="2" t="s">
        <v>29</v>
      </c>
    </row>
    <row r="861" spans="1:17">
      <c r="A861" s="2" t="s">
        <v>1195</v>
      </c>
      <c r="B861" s="2" t="str">
        <f>[1]Sheet1!M861</f>
        <v>女</v>
      </c>
      <c r="C861" s="3" t="str" cm="1">
        <f t="array" ref="C8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61" s="2" t="str">
        <f>MID([1]Sheet1!F861,FIND("(",[1]Sheet1!F861)+1,FIND("-",[1]Sheet1!F861)-FIND("(",[1]Sheet1!F861)-1)</f>
        <v>河南</v>
      </c>
      <c r="E861" s="2" t="str">
        <f>MID([1]Sheet1!F861,FIND("-",[1]Sheet1!F861)+1,FIND(")",[1]Sheet1!F861)-FIND("-",[1]Sheet1!F861)-1)</f>
        <v>郑州</v>
      </c>
      <c r="F861" s="2" t="s">
        <v>42</v>
      </c>
      <c r="G861" s="2" t="s">
        <v>32</v>
      </c>
      <c r="H861" s="2" t="s">
        <v>66</v>
      </c>
      <c r="I861" s="2" t="s">
        <v>51</v>
      </c>
      <c r="J861" s="2" t="s">
        <v>77</v>
      </c>
      <c r="K861" s="2" t="s">
        <v>117</v>
      </c>
      <c r="L861" s="2" t="s">
        <v>83</v>
      </c>
      <c r="M861" s="2" t="s">
        <v>36</v>
      </c>
      <c r="N861" s="2" t="s">
        <v>37</v>
      </c>
      <c r="O861" s="2" t="s">
        <v>47</v>
      </c>
      <c r="P861" s="2" t="s">
        <v>28</v>
      </c>
      <c r="Q861" s="2" t="s">
        <v>48</v>
      </c>
    </row>
    <row r="862" spans="1:17">
      <c r="A862" s="2" t="s">
        <v>1196</v>
      </c>
      <c r="B862" s="2" t="str">
        <f>[1]Sheet1!M862</f>
        <v>男</v>
      </c>
      <c r="C862" s="3" t="str" cm="1">
        <f t="array" ref="C8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62" s="2" t="str">
        <f>MID([1]Sheet1!F862,FIND("(",[1]Sheet1!F862)+1,FIND("-",[1]Sheet1!F862)-FIND("(",[1]Sheet1!F862)-1)</f>
        <v>江西</v>
      </c>
      <c r="E862" s="2" t="str">
        <f>MID([1]Sheet1!F862,FIND("-",[1]Sheet1!F862)+1,FIND(")",[1]Sheet1!F862)-FIND("-",[1]Sheet1!F862)-1)</f>
        <v>九江</v>
      </c>
      <c r="F862" s="2" t="s">
        <v>42</v>
      </c>
      <c r="G862" s="2" t="s">
        <v>81</v>
      </c>
      <c r="H862" s="2" t="s">
        <v>20</v>
      </c>
      <c r="I862" s="2" t="s">
        <v>51</v>
      </c>
      <c r="J862" s="2" t="s">
        <v>56</v>
      </c>
      <c r="K862" s="2" t="s">
        <v>117</v>
      </c>
      <c r="L862" s="2" t="s">
        <v>24</v>
      </c>
      <c r="M862" s="2" t="s">
        <v>36</v>
      </c>
      <c r="N862" s="2" t="s">
        <v>37</v>
      </c>
      <c r="O862" s="2" t="s">
        <v>295</v>
      </c>
      <c r="P862" s="2" t="s">
        <v>39</v>
      </c>
      <c r="Q862" s="2" t="s">
        <v>348</v>
      </c>
    </row>
    <row r="863" spans="1:17">
      <c r="A863" s="2" t="s">
        <v>1197</v>
      </c>
      <c r="B863" s="2" t="str">
        <f>[1]Sheet1!M863</f>
        <v>男</v>
      </c>
      <c r="C863" s="3" t="str" cm="1">
        <f t="array" ref="C8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63" s="2" t="str">
        <f>MID([1]Sheet1!F863,FIND("(",[1]Sheet1!F863)+1,FIND("-",[1]Sheet1!F863)-FIND("(",[1]Sheet1!F863)-1)</f>
        <v>江西</v>
      </c>
      <c r="E863" s="2" t="str">
        <f>MID([1]Sheet1!F863,FIND("-",[1]Sheet1!F863)+1,FIND(")",[1]Sheet1!F863)-FIND("-",[1]Sheet1!F863)-1)</f>
        <v>赣州</v>
      </c>
      <c r="F863" s="2" t="s">
        <v>42</v>
      </c>
      <c r="G863" s="2" t="s">
        <v>50</v>
      </c>
      <c r="H863" s="2" t="s">
        <v>66</v>
      </c>
      <c r="I863" s="2" t="s">
        <v>51</v>
      </c>
      <c r="J863" s="2" t="s">
        <v>56</v>
      </c>
      <c r="K863" s="2" t="s">
        <v>223</v>
      </c>
      <c r="L863" s="2" t="s">
        <v>24</v>
      </c>
      <c r="M863" s="2" t="s">
        <v>36</v>
      </c>
      <c r="N863" s="2" t="s">
        <v>37</v>
      </c>
      <c r="O863" s="2" t="s">
        <v>47</v>
      </c>
      <c r="P863" s="2" t="s">
        <v>59</v>
      </c>
      <c r="Q863" s="2" t="s">
        <v>103</v>
      </c>
    </row>
    <row r="864" spans="1:17">
      <c r="A864" s="2" t="s">
        <v>1198</v>
      </c>
      <c r="B864" s="2" t="str">
        <f>[1]Sheet1!M864</f>
        <v>男</v>
      </c>
      <c r="C864" s="3" t="str" cm="1">
        <f t="array" ref="C8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64" s="2" t="str">
        <f>MID([1]Sheet1!F864,FIND("(",[1]Sheet1!F864)+1,FIND("-",[1]Sheet1!F864)-FIND("(",[1]Sheet1!F864)-1)</f>
        <v>江西</v>
      </c>
      <c r="E864" s="2" t="str">
        <f>MID([1]Sheet1!F864,FIND("-",[1]Sheet1!F864)+1,FIND(")",[1]Sheet1!F864)-FIND("-",[1]Sheet1!F864)-1)</f>
        <v>南昌</v>
      </c>
      <c r="F864" s="2" t="s">
        <v>31</v>
      </c>
      <c r="G864" s="2" t="s">
        <v>19</v>
      </c>
      <c r="H864" s="2" t="s">
        <v>66</v>
      </c>
      <c r="I864" s="2" t="s">
        <v>120</v>
      </c>
      <c r="J864" s="2" t="s">
        <v>56</v>
      </c>
      <c r="K864" s="2" t="s">
        <v>137</v>
      </c>
      <c r="L864" s="2" t="s">
        <v>24</v>
      </c>
      <c r="M864" s="2" t="s">
        <v>36</v>
      </c>
      <c r="N864" s="2" t="s">
        <v>37</v>
      </c>
      <c r="O864" s="2" t="s">
        <v>58</v>
      </c>
      <c r="P864" s="2" t="s">
        <v>63</v>
      </c>
      <c r="Q864" s="2" t="s">
        <v>1199</v>
      </c>
    </row>
    <row r="865" spans="1:17">
      <c r="A865" s="2" t="s">
        <v>1200</v>
      </c>
      <c r="B865" s="2" t="str">
        <f>[1]Sheet1!M865</f>
        <v>男</v>
      </c>
      <c r="C865" s="3" t="str" cm="1">
        <f t="array" ref="C8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65" s="2" t="str">
        <f>MID([1]Sheet1!F865,FIND("(",[1]Sheet1!F865)+1,FIND("-",[1]Sheet1!F865)-FIND("(",[1]Sheet1!F865)-1)</f>
        <v>广西</v>
      </c>
      <c r="E865" s="2" t="str">
        <f>MID([1]Sheet1!F865,FIND("-",[1]Sheet1!F865)+1,FIND(")",[1]Sheet1!F865)-FIND("-",[1]Sheet1!F865)-1)</f>
        <v>柳州</v>
      </c>
      <c r="F865" s="2" t="s">
        <v>70</v>
      </c>
      <c r="G865" s="2" t="s">
        <v>114</v>
      </c>
      <c r="H865" s="2" t="s">
        <v>66</v>
      </c>
      <c r="I865" s="2" t="s">
        <v>43</v>
      </c>
      <c r="J865" s="2" t="s">
        <v>96</v>
      </c>
      <c r="K865" s="2" t="s">
        <v>130</v>
      </c>
      <c r="L865" s="2" t="s">
        <v>24</v>
      </c>
      <c r="M865" s="2" t="s">
        <v>78</v>
      </c>
      <c r="N865" s="2" t="s">
        <v>37</v>
      </c>
      <c r="O865" s="2" t="s">
        <v>47</v>
      </c>
      <c r="P865" s="2" t="s">
        <v>39</v>
      </c>
      <c r="Q865" s="2" t="s">
        <v>1201</v>
      </c>
    </row>
    <row r="866" spans="1:17">
      <c r="A866" s="2" t="s">
        <v>1202</v>
      </c>
      <c r="B866" s="2" t="str">
        <f>[1]Sheet1!M866</f>
        <v>男</v>
      </c>
      <c r="C866" s="3" t="str" cm="1">
        <f t="array" ref="C8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66" s="2" t="str">
        <f>MID([1]Sheet1!F866,FIND("(",[1]Sheet1!F866)+1,FIND("-",[1]Sheet1!F866)-FIND("(",[1]Sheet1!F866)-1)</f>
        <v>广西</v>
      </c>
      <c r="E866" s="2" t="str">
        <f>MID([1]Sheet1!F866,FIND("-",[1]Sheet1!F866)+1,FIND(")",[1]Sheet1!F866)-FIND("-",[1]Sheet1!F866)-1)</f>
        <v>柳州</v>
      </c>
      <c r="F866" s="2" t="s">
        <v>70</v>
      </c>
      <c r="G866" s="2" t="s">
        <v>114</v>
      </c>
      <c r="H866" s="2" t="s">
        <v>66</v>
      </c>
      <c r="I866" s="2" t="s">
        <v>21</v>
      </c>
      <c r="J866" s="2" t="s">
        <v>96</v>
      </c>
      <c r="K866" s="2" t="s">
        <v>223</v>
      </c>
      <c r="L866" s="2" t="s">
        <v>83</v>
      </c>
      <c r="M866" s="2" t="s">
        <v>36</v>
      </c>
      <c r="N866" s="2" t="s">
        <v>46</v>
      </c>
      <c r="O866" s="2" t="s">
        <v>58</v>
      </c>
      <c r="P866" s="2" t="s">
        <v>218</v>
      </c>
      <c r="Q866" s="2" t="s">
        <v>133</v>
      </c>
    </row>
    <row r="867" spans="1:17">
      <c r="A867" s="2" t="s">
        <v>1203</v>
      </c>
      <c r="B867" s="2" t="str">
        <f>[1]Sheet1!M867</f>
        <v>男</v>
      </c>
      <c r="C867" s="3" t="str" cm="1">
        <f t="array" ref="C8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67" s="2" t="str">
        <f>MID([1]Sheet1!F867,FIND("(",[1]Sheet1!F867)+1,FIND("-",[1]Sheet1!F867)-FIND("(",[1]Sheet1!F867)-1)</f>
        <v>广东</v>
      </c>
      <c r="E867" s="2" t="str">
        <f>MID([1]Sheet1!F867,FIND("-",[1]Sheet1!F867)+1,FIND(")",[1]Sheet1!F867)-FIND("-",[1]Sheet1!F867)-1)</f>
        <v>东莞</v>
      </c>
      <c r="F867" s="2" t="s">
        <v>31</v>
      </c>
      <c r="G867" s="2" t="s">
        <v>81</v>
      </c>
      <c r="H867" s="2" t="s">
        <v>20</v>
      </c>
      <c r="I867" s="2" t="s">
        <v>21</v>
      </c>
      <c r="J867" s="2" t="s">
        <v>22</v>
      </c>
      <c r="K867" s="2" t="s">
        <v>130</v>
      </c>
      <c r="L867" s="2" t="s">
        <v>24</v>
      </c>
      <c r="M867" s="2" t="s">
        <v>67</v>
      </c>
      <c r="N867" s="2" t="s">
        <v>37</v>
      </c>
      <c r="O867" s="2" t="s">
        <v>89</v>
      </c>
      <c r="P867" s="2" t="s">
        <v>28</v>
      </c>
      <c r="Q867" s="2" t="s">
        <v>200</v>
      </c>
    </row>
    <row r="868" spans="1:17">
      <c r="A868" s="2" t="s">
        <v>1204</v>
      </c>
      <c r="B868" s="2" t="str">
        <f>[1]Sheet1!M868</f>
        <v>男</v>
      </c>
      <c r="C868" s="3" t="str" cm="1">
        <f t="array" ref="C8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68" s="2" t="str">
        <f>MID([1]Sheet1!F868,FIND("(",[1]Sheet1!F868)+1,FIND("-",[1]Sheet1!F868)-FIND("(",[1]Sheet1!F868)-1)</f>
        <v>北京</v>
      </c>
      <c r="E868" s="2" t="str">
        <f>MID([1]Sheet1!F868,FIND("-",[1]Sheet1!F868)+1,FIND(")",[1]Sheet1!F868)-FIND("-",[1]Sheet1!F868)-1)</f>
        <v>北京</v>
      </c>
      <c r="F868" s="2" t="s">
        <v>42</v>
      </c>
      <c r="G868" s="2" t="s">
        <v>81</v>
      </c>
      <c r="H868" s="2" t="s">
        <v>66</v>
      </c>
      <c r="I868" s="2" t="s">
        <v>34</v>
      </c>
      <c r="J868" s="2" t="s">
        <v>96</v>
      </c>
      <c r="K868" s="2" t="s">
        <v>117</v>
      </c>
      <c r="L868" s="2" t="s">
        <v>83</v>
      </c>
      <c r="M868" s="2" t="s">
        <v>36</v>
      </c>
      <c r="N868" s="2" t="s">
        <v>26</v>
      </c>
      <c r="O868" s="2" t="s">
        <v>122</v>
      </c>
      <c r="P868" s="2" t="s">
        <v>63</v>
      </c>
      <c r="Q868" s="2" t="s">
        <v>1205</v>
      </c>
    </row>
    <row r="869" spans="1:17">
      <c r="A869" s="2" t="s">
        <v>1206</v>
      </c>
      <c r="B869" s="2" t="str">
        <f>[1]Sheet1!M869</f>
        <v>男</v>
      </c>
      <c r="C869" s="3" t="str" cm="1">
        <f t="array" ref="C8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69" s="2" t="str">
        <f>MID([1]Sheet1!F869,FIND("(",[1]Sheet1!F869)+1,FIND("-",[1]Sheet1!F869)-FIND("(",[1]Sheet1!F869)-1)</f>
        <v>河南</v>
      </c>
      <c r="E869" s="2" t="str">
        <f>MID([1]Sheet1!F869,FIND("-",[1]Sheet1!F869)+1,FIND(")",[1]Sheet1!F869)-FIND("-",[1]Sheet1!F869)-1)</f>
        <v>驻马店</v>
      </c>
      <c r="F869" s="2" t="s">
        <v>31</v>
      </c>
      <c r="G869" s="2" t="s">
        <v>50</v>
      </c>
      <c r="H869" s="2" t="s">
        <v>66</v>
      </c>
      <c r="I869" s="2" t="s">
        <v>51</v>
      </c>
      <c r="J869" s="2" t="s">
        <v>44</v>
      </c>
      <c r="K869" s="2" t="s">
        <v>117</v>
      </c>
      <c r="L869" s="2" t="s">
        <v>24</v>
      </c>
      <c r="M869" s="2" t="s">
        <v>36</v>
      </c>
      <c r="N869" s="2" t="s">
        <v>26</v>
      </c>
      <c r="O869" s="2" t="s">
        <v>47</v>
      </c>
      <c r="P869" s="2" t="s">
        <v>63</v>
      </c>
      <c r="Q869" s="2" t="s">
        <v>68</v>
      </c>
    </row>
    <row r="870" spans="1:17">
      <c r="A870" s="2" t="s">
        <v>1207</v>
      </c>
      <c r="B870" s="2" t="str">
        <f>[1]Sheet1!M870</f>
        <v>男</v>
      </c>
      <c r="C870" s="3" t="str" cm="1">
        <f t="array" ref="C8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0" s="2" t="str">
        <f>MID([1]Sheet1!F870,FIND("(",[1]Sheet1!F870)+1,FIND("-",[1]Sheet1!F870)-FIND("(",[1]Sheet1!F870)-1)</f>
        <v>广东</v>
      </c>
      <c r="E870" s="2" t="str">
        <f>MID([1]Sheet1!F870,FIND("-",[1]Sheet1!F870)+1,FIND(")",[1]Sheet1!F870)-FIND("-",[1]Sheet1!F870)-1)</f>
        <v>广州</v>
      </c>
      <c r="F870" s="2" t="s">
        <v>88</v>
      </c>
      <c r="G870" s="2" t="s">
        <v>32</v>
      </c>
      <c r="H870" s="2" t="s">
        <v>33</v>
      </c>
      <c r="I870" s="2" t="s">
        <v>34</v>
      </c>
      <c r="J870" s="2" t="s">
        <v>82</v>
      </c>
      <c r="K870" s="2" t="s">
        <v>117</v>
      </c>
      <c r="L870" s="2" t="s">
        <v>24</v>
      </c>
      <c r="M870" s="2" t="s">
        <v>71</v>
      </c>
      <c r="N870" s="2" t="s">
        <v>46</v>
      </c>
      <c r="O870" s="2" t="s">
        <v>47</v>
      </c>
      <c r="P870" s="2" t="s">
        <v>28</v>
      </c>
      <c r="Q870" s="2" t="s">
        <v>546</v>
      </c>
    </row>
    <row r="871" spans="1:17">
      <c r="A871" s="2" t="s">
        <v>1208</v>
      </c>
      <c r="B871" s="2" t="str">
        <f>[1]Sheet1!M871</f>
        <v>男</v>
      </c>
      <c r="C871" s="3" t="str" cm="1">
        <f t="array" ref="C8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1" s="2" t="str">
        <f>MID([1]Sheet1!F871,FIND("(",[1]Sheet1!F871)+1,FIND("-",[1]Sheet1!F871)-FIND("(",[1]Sheet1!F871)-1)</f>
        <v>广东</v>
      </c>
      <c r="E871" s="2" t="str">
        <f>MID([1]Sheet1!F871,FIND("-",[1]Sheet1!F871)+1,FIND(")",[1]Sheet1!F871)-FIND("-",[1]Sheet1!F871)-1)</f>
        <v>广州</v>
      </c>
      <c r="F871" s="2" t="s">
        <v>18</v>
      </c>
      <c r="G871" s="2" t="s">
        <v>32</v>
      </c>
      <c r="H871" s="2" t="s">
        <v>66</v>
      </c>
      <c r="I871" s="2" t="s">
        <v>43</v>
      </c>
      <c r="J871" s="2" t="s">
        <v>44</v>
      </c>
      <c r="K871" s="2" t="s">
        <v>169</v>
      </c>
      <c r="L871" s="2" t="s">
        <v>24</v>
      </c>
      <c r="M871" s="2" t="s">
        <v>36</v>
      </c>
      <c r="N871" s="2" t="s">
        <v>37</v>
      </c>
      <c r="O871" s="2" t="s">
        <v>47</v>
      </c>
      <c r="P871" s="2" t="s">
        <v>63</v>
      </c>
      <c r="Q871" s="2" t="s">
        <v>160</v>
      </c>
    </row>
    <row r="872" spans="1:17">
      <c r="A872" s="2" t="s">
        <v>1209</v>
      </c>
      <c r="B872" s="2" t="str">
        <f>[1]Sheet1!M872</f>
        <v>男</v>
      </c>
      <c r="C872" s="3" t="str" cm="1">
        <f t="array" ref="C8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2" s="2" t="str">
        <f>MID([1]Sheet1!F872,FIND("(",[1]Sheet1!F872)+1,FIND("-",[1]Sheet1!F872)-FIND("(",[1]Sheet1!F872)-1)</f>
        <v>广西</v>
      </c>
      <c r="E872" s="2" t="str">
        <f>MID([1]Sheet1!F872,FIND("-",[1]Sheet1!F872)+1,FIND(")",[1]Sheet1!F872)-FIND("-",[1]Sheet1!F872)-1)</f>
        <v>柳州</v>
      </c>
      <c r="F872" s="2" t="s">
        <v>88</v>
      </c>
      <c r="G872" s="2" t="s">
        <v>50</v>
      </c>
      <c r="H872" s="2" t="s">
        <v>66</v>
      </c>
      <c r="I872" s="2" t="s">
        <v>34</v>
      </c>
      <c r="J872" s="2" t="s">
        <v>56</v>
      </c>
      <c r="K872" s="2" t="s">
        <v>117</v>
      </c>
      <c r="L872" s="2" t="s">
        <v>24</v>
      </c>
      <c r="M872" s="2" t="s">
        <v>36</v>
      </c>
      <c r="N872" s="2" t="s">
        <v>37</v>
      </c>
      <c r="O872" s="2" t="s">
        <v>89</v>
      </c>
      <c r="P872" s="2" t="s">
        <v>39</v>
      </c>
      <c r="Q872" s="2" t="s">
        <v>261</v>
      </c>
    </row>
    <row r="873" spans="1:17">
      <c r="A873" s="2" t="s">
        <v>1207</v>
      </c>
      <c r="B873" s="2" t="str">
        <f>[1]Sheet1!M873</f>
        <v>男</v>
      </c>
      <c r="C873" s="3" t="str" cm="1">
        <f t="array" ref="C8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3" s="2" t="str">
        <f>MID([1]Sheet1!F873,FIND("(",[1]Sheet1!F873)+1,FIND("-",[1]Sheet1!F873)-FIND("(",[1]Sheet1!F873)-1)</f>
        <v>广东</v>
      </c>
      <c r="E873" s="2" t="str">
        <f>MID([1]Sheet1!F873,FIND("-",[1]Sheet1!F873)+1,FIND(")",[1]Sheet1!F873)-FIND("-",[1]Sheet1!F873)-1)</f>
        <v>广州</v>
      </c>
      <c r="F873" s="2" t="s">
        <v>88</v>
      </c>
      <c r="G873" s="2" t="s">
        <v>32</v>
      </c>
      <c r="H873" s="2" t="s">
        <v>33</v>
      </c>
      <c r="I873" s="2" t="s">
        <v>34</v>
      </c>
      <c r="J873" s="2" t="s">
        <v>96</v>
      </c>
      <c r="K873" s="2" t="s">
        <v>117</v>
      </c>
      <c r="L873" s="2" t="s">
        <v>24</v>
      </c>
      <c r="M873" s="2" t="s">
        <v>71</v>
      </c>
      <c r="N873" s="2" t="s">
        <v>46</v>
      </c>
      <c r="O873" s="2" t="s">
        <v>47</v>
      </c>
      <c r="P873" s="2" t="s">
        <v>28</v>
      </c>
      <c r="Q873" s="2" t="s">
        <v>267</v>
      </c>
    </row>
    <row r="874" spans="1:17">
      <c r="A874" s="2" t="s">
        <v>1210</v>
      </c>
      <c r="B874" s="2" t="str">
        <f>[1]Sheet1!M874</f>
        <v>男</v>
      </c>
      <c r="C874" s="3" t="str" cm="1">
        <f t="array" ref="C8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4" s="2" t="str">
        <f>MID([1]Sheet1!F874,FIND("(",[1]Sheet1!F874)+1,FIND("-",[1]Sheet1!F874)-FIND("(",[1]Sheet1!F874)-1)</f>
        <v>广东</v>
      </c>
      <c r="E874" s="2" t="str">
        <f>MID([1]Sheet1!F874,FIND("-",[1]Sheet1!F874)+1,FIND(")",[1]Sheet1!F874)-FIND("-",[1]Sheet1!F874)-1)</f>
        <v>东莞</v>
      </c>
      <c r="F874" s="2" t="s">
        <v>42</v>
      </c>
      <c r="G874" s="2" t="s">
        <v>32</v>
      </c>
      <c r="H874" s="2" t="s">
        <v>66</v>
      </c>
      <c r="I874" s="2" t="s">
        <v>51</v>
      </c>
      <c r="J874" s="2" t="s">
        <v>82</v>
      </c>
      <c r="K874" s="2" t="s">
        <v>117</v>
      </c>
      <c r="L874" s="2" t="s">
        <v>24</v>
      </c>
      <c r="M874" s="2" t="s">
        <v>36</v>
      </c>
      <c r="N874" s="2" t="s">
        <v>37</v>
      </c>
      <c r="O874" s="2" t="s">
        <v>27</v>
      </c>
      <c r="P874" s="2" t="s">
        <v>59</v>
      </c>
      <c r="Q874" s="2" t="s">
        <v>48</v>
      </c>
    </row>
    <row r="875" spans="1:17">
      <c r="A875" s="2" t="s">
        <v>1211</v>
      </c>
      <c r="B875" s="2" t="str">
        <f>[1]Sheet1!M875</f>
        <v>男</v>
      </c>
      <c r="C875" s="3" t="str" cm="1">
        <f t="array" ref="C8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5" s="2" t="str">
        <f>MID([1]Sheet1!F875,FIND("(",[1]Sheet1!F875)+1,FIND("-",[1]Sheet1!F875)-FIND("(",[1]Sheet1!F875)-1)</f>
        <v>广西</v>
      </c>
      <c r="E875" s="2" t="str">
        <f>MID([1]Sheet1!F875,FIND("-",[1]Sheet1!F875)+1,FIND(")",[1]Sheet1!F875)-FIND("-",[1]Sheet1!F875)-1)</f>
        <v>柳州</v>
      </c>
      <c r="F875" s="2" t="s">
        <v>31</v>
      </c>
      <c r="G875" s="2" t="s">
        <v>50</v>
      </c>
      <c r="H875" s="2" t="s">
        <v>55</v>
      </c>
      <c r="I875" s="2" t="s">
        <v>43</v>
      </c>
      <c r="J875" s="2" t="s">
        <v>96</v>
      </c>
      <c r="K875" s="2" t="s">
        <v>115</v>
      </c>
      <c r="L875" s="2" t="s">
        <v>24</v>
      </c>
      <c r="M875" s="2" t="s">
        <v>36</v>
      </c>
      <c r="N875" s="2" t="s">
        <v>85</v>
      </c>
      <c r="O875" s="2" t="s">
        <v>47</v>
      </c>
      <c r="P875" s="2" t="s">
        <v>39</v>
      </c>
      <c r="Q875" s="2" t="s">
        <v>1212</v>
      </c>
    </row>
    <row r="876" spans="1:17">
      <c r="A876" s="2" t="s">
        <v>1213</v>
      </c>
      <c r="B876" s="2" t="str">
        <f>[1]Sheet1!M876</f>
        <v>男</v>
      </c>
      <c r="C876" s="3" t="str" cm="1">
        <f t="array" ref="C8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6" s="2" t="str">
        <f>MID([1]Sheet1!F876,FIND("(",[1]Sheet1!F876)+1,FIND("-",[1]Sheet1!F876)-FIND("(",[1]Sheet1!F876)-1)</f>
        <v>广西</v>
      </c>
      <c r="E876" s="2" t="str">
        <f>MID([1]Sheet1!F876,FIND("-",[1]Sheet1!F876)+1,FIND(")",[1]Sheet1!F876)-FIND("-",[1]Sheet1!F876)-1)</f>
        <v>南宁</v>
      </c>
      <c r="F876" s="2" t="s">
        <v>88</v>
      </c>
      <c r="G876" s="2" t="s">
        <v>19</v>
      </c>
      <c r="H876" s="2" t="s">
        <v>66</v>
      </c>
      <c r="I876" s="2" t="s">
        <v>120</v>
      </c>
      <c r="J876" s="2" t="s">
        <v>56</v>
      </c>
      <c r="K876" s="2" t="s">
        <v>117</v>
      </c>
      <c r="L876" s="2" t="s">
        <v>24</v>
      </c>
      <c r="M876" s="2" t="s">
        <v>36</v>
      </c>
      <c r="N876" s="2" t="s">
        <v>37</v>
      </c>
      <c r="O876" s="2" t="s">
        <v>47</v>
      </c>
      <c r="P876" s="2" t="s">
        <v>179</v>
      </c>
      <c r="Q876" s="2" t="s">
        <v>172</v>
      </c>
    </row>
    <row r="877" spans="1:17">
      <c r="A877" s="2" t="s">
        <v>1214</v>
      </c>
      <c r="B877" s="2" t="str">
        <f>[1]Sheet1!M877</f>
        <v>男</v>
      </c>
      <c r="C877" s="3" t="str" cm="1">
        <f t="array" ref="C8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其他</v>
      </c>
      <c r="D877" s="2" t="str">
        <f>MID([1]Sheet1!F877,FIND("(",[1]Sheet1!F877)+1,FIND("-",[1]Sheet1!F877)-FIND("(",[1]Sheet1!F877)-1)</f>
        <v>香港</v>
      </c>
      <c r="E877" s="2" t="str">
        <f>MID([1]Sheet1!F877,FIND("-",[1]Sheet1!F877)+1,FIND(")",[1]Sheet1!F877)-FIND("-",[1]Sheet1!F877)-1)</f>
        <v>未知</v>
      </c>
      <c r="F877" s="2" t="s">
        <v>88</v>
      </c>
      <c r="G877" s="2" t="s">
        <v>50</v>
      </c>
      <c r="H877" s="2" t="s">
        <v>55</v>
      </c>
      <c r="I877" s="2" t="s">
        <v>73</v>
      </c>
      <c r="J877" s="2" t="s">
        <v>96</v>
      </c>
      <c r="K877" s="2" t="s">
        <v>117</v>
      </c>
      <c r="L877" s="2" t="s">
        <v>24</v>
      </c>
      <c r="M877" s="2" t="s">
        <v>84</v>
      </c>
      <c r="N877" s="2" t="s">
        <v>46</v>
      </c>
      <c r="O877" s="2" t="s">
        <v>47</v>
      </c>
      <c r="P877" s="2" t="s">
        <v>39</v>
      </c>
      <c r="Q877" s="2" t="s">
        <v>94</v>
      </c>
    </row>
    <row r="878" spans="1:17">
      <c r="A878" s="2" t="s">
        <v>1215</v>
      </c>
      <c r="B878" s="2" t="str">
        <f>[1]Sheet1!M878</f>
        <v>男</v>
      </c>
      <c r="C878" s="3" t="str" cm="1">
        <f t="array" ref="C8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78" s="2" t="str">
        <f>MID([1]Sheet1!F878,FIND("(",[1]Sheet1!F878)+1,FIND("-",[1]Sheet1!F878)-FIND("(",[1]Sheet1!F878)-1)</f>
        <v>广东</v>
      </c>
      <c r="E878" s="2" t="str">
        <f>MID([1]Sheet1!F878,FIND("-",[1]Sheet1!F878)+1,FIND(")",[1]Sheet1!F878)-FIND("-",[1]Sheet1!F878)-1)</f>
        <v>汕头</v>
      </c>
      <c r="F878" s="2" t="s">
        <v>31</v>
      </c>
      <c r="G878" s="2" t="s">
        <v>19</v>
      </c>
      <c r="H878" s="2" t="s">
        <v>66</v>
      </c>
      <c r="I878" s="2" t="s">
        <v>21</v>
      </c>
      <c r="J878" s="2" t="s">
        <v>82</v>
      </c>
      <c r="K878" s="2" t="s">
        <v>117</v>
      </c>
      <c r="L878" s="2" t="s">
        <v>24</v>
      </c>
      <c r="M878" s="2" t="s">
        <v>36</v>
      </c>
      <c r="N878" s="2" t="s">
        <v>37</v>
      </c>
      <c r="O878" s="2" t="s">
        <v>406</v>
      </c>
      <c r="P878" s="2" t="s">
        <v>59</v>
      </c>
      <c r="Q878" s="2" t="s">
        <v>123</v>
      </c>
    </row>
    <row r="879" spans="1:17">
      <c r="A879" s="2" t="s">
        <v>1216</v>
      </c>
      <c r="B879" s="2" t="str">
        <f>[1]Sheet1!M879</f>
        <v>女</v>
      </c>
      <c r="C879" s="3" t="str" cm="1">
        <f t="array" ref="C8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879" s="2" t="str">
        <f>MID([1]Sheet1!F879,FIND("(",[1]Sheet1!F879)+1,FIND("-",[1]Sheet1!F879)-FIND("(",[1]Sheet1!F879)-1)</f>
        <v>陕西</v>
      </c>
      <c r="E879" s="2" t="str">
        <f>MID([1]Sheet1!F879,FIND("-",[1]Sheet1!F879)+1,FIND(")",[1]Sheet1!F879)-FIND("-",[1]Sheet1!F879)-1)</f>
        <v>西安</v>
      </c>
      <c r="F879" s="2" t="s">
        <v>31</v>
      </c>
      <c r="G879" s="2" t="s">
        <v>32</v>
      </c>
      <c r="H879" s="2" t="s">
        <v>66</v>
      </c>
      <c r="I879" s="2" t="s">
        <v>43</v>
      </c>
      <c r="J879" s="2" t="s">
        <v>82</v>
      </c>
      <c r="K879" s="2" t="s">
        <v>121</v>
      </c>
      <c r="L879" s="2" t="s">
        <v>24</v>
      </c>
      <c r="M879" s="2" t="s">
        <v>36</v>
      </c>
      <c r="N879" s="2" t="s">
        <v>85</v>
      </c>
      <c r="O879" s="2" t="s">
        <v>47</v>
      </c>
      <c r="P879" s="2" t="s">
        <v>179</v>
      </c>
      <c r="Q879" s="2" t="s">
        <v>339</v>
      </c>
    </row>
    <row r="880" spans="1:17">
      <c r="A880" s="2" t="s">
        <v>1217</v>
      </c>
      <c r="B880" s="2" t="str">
        <f>[1]Sheet1!M880</f>
        <v>男</v>
      </c>
      <c r="C880" s="3" t="str" cm="1">
        <f t="array" ref="C8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80" s="2" t="str">
        <f>MID([1]Sheet1!F880,FIND("(",[1]Sheet1!F880)+1,FIND("-",[1]Sheet1!F880)-FIND("(",[1]Sheet1!F880)-1)</f>
        <v>浙江</v>
      </c>
      <c r="E880" s="2" t="str">
        <f>MID([1]Sheet1!F880,FIND("-",[1]Sheet1!F880)+1,FIND(")",[1]Sheet1!F880)-FIND("-",[1]Sheet1!F880)-1)</f>
        <v>杭州</v>
      </c>
      <c r="F880" s="2" t="s">
        <v>31</v>
      </c>
      <c r="G880" s="2" t="s">
        <v>32</v>
      </c>
      <c r="H880" s="2" t="s">
        <v>33</v>
      </c>
      <c r="I880" s="2" t="s">
        <v>43</v>
      </c>
      <c r="J880" s="2" t="s">
        <v>44</v>
      </c>
      <c r="K880" s="2" t="s">
        <v>117</v>
      </c>
      <c r="L880" s="2" t="s">
        <v>24</v>
      </c>
      <c r="M880" s="2" t="s">
        <v>143</v>
      </c>
      <c r="N880" s="2" t="s">
        <v>26</v>
      </c>
      <c r="O880" s="2" t="s">
        <v>914</v>
      </c>
      <c r="P880" s="2" t="s">
        <v>59</v>
      </c>
      <c r="Q880" s="2" t="s">
        <v>133</v>
      </c>
    </row>
    <row r="881" spans="1:17">
      <c r="A881" s="2" t="s">
        <v>1217</v>
      </c>
      <c r="B881" s="2" t="str">
        <f>[1]Sheet1!M881</f>
        <v>男</v>
      </c>
      <c r="C881" s="3" t="str" cm="1">
        <f t="array" ref="C8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881" s="2" t="str">
        <f>MID([1]Sheet1!F881,FIND("(",[1]Sheet1!F881)+1,FIND("-",[1]Sheet1!F881)-FIND("(",[1]Sheet1!F881)-1)</f>
        <v>浙江</v>
      </c>
      <c r="E881" s="2" t="str">
        <f>MID([1]Sheet1!F881,FIND("-",[1]Sheet1!F881)+1,FIND(")",[1]Sheet1!F881)-FIND("-",[1]Sheet1!F881)-1)</f>
        <v>杭州</v>
      </c>
      <c r="F881" s="2" t="s">
        <v>31</v>
      </c>
      <c r="G881" s="2" t="s">
        <v>32</v>
      </c>
      <c r="H881" s="2" t="s">
        <v>33</v>
      </c>
      <c r="I881" s="2" t="s">
        <v>43</v>
      </c>
      <c r="J881" s="2" t="s">
        <v>44</v>
      </c>
      <c r="K881" s="2" t="s">
        <v>117</v>
      </c>
      <c r="L881" s="2" t="s">
        <v>24</v>
      </c>
      <c r="M881" s="2" t="s">
        <v>67</v>
      </c>
      <c r="N881" s="2" t="s">
        <v>26</v>
      </c>
      <c r="O881" s="2" t="s">
        <v>152</v>
      </c>
      <c r="P881" s="2" t="s">
        <v>39</v>
      </c>
      <c r="Q881" s="2" t="s">
        <v>133</v>
      </c>
    </row>
    <row r="882" spans="1:17">
      <c r="A882" s="2" t="s">
        <v>1218</v>
      </c>
      <c r="B882" s="2" t="str">
        <f>[1]Sheet1!M882</f>
        <v>男</v>
      </c>
      <c r="C882" s="3" t="str" cm="1">
        <f t="array" ref="C8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882" s="2" t="str">
        <f>MID([1]Sheet1!F882,FIND("(",[1]Sheet1!F882)+1,FIND("-",[1]Sheet1!F882)-FIND("(",[1]Sheet1!F882)-1)</f>
        <v>河南</v>
      </c>
      <c r="E882" s="2" t="str">
        <f>MID([1]Sheet1!F882,FIND("-",[1]Sheet1!F882)+1,FIND(")",[1]Sheet1!F882)-FIND("-",[1]Sheet1!F882)-1)</f>
        <v>郑州</v>
      </c>
      <c r="F882" s="2" t="s">
        <v>42</v>
      </c>
      <c r="G882" s="2" t="s">
        <v>50</v>
      </c>
      <c r="H882" s="2" t="s">
        <v>20</v>
      </c>
      <c r="I882" s="2" t="s">
        <v>51</v>
      </c>
      <c r="J882" s="2" t="s">
        <v>56</v>
      </c>
      <c r="K882" s="2" t="s">
        <v>115</v>
      </c>
      <c r="L882" s="2" t="s">
        <v>24</v>
      </c>
      <c r="M882" s="2" t="s">
        <v>36</v>
      </c>
      <c r="N882" s="2" t="s">
        <v>37</v>
      </c>
      <c r="O882" s="2" t="s">
        <v>27</v>
      </c>
      <c r="P882" s="2" t="s">
        <v>59</v>
      </c>
      <c r="Q882" s="2" t="s">
        <v>339</v>
      </c>
    </row>
    <row r="883" spans="1:17">
      <c r="A883" s="2" t="s">
        <v>816</v>
      </c>
      <c r="B883" s="2" t="str">
        <f>[1]Sheet1!M883</f>
        <v>男</v>
      </c>
      <c r="C883" s="3" t="str" cm="1">
        <f t="array" ref="C8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83" s="2" t="str">
        <f>MID([1]Sheet1!F883,FIND("(",[1]Sheet1!F883)+1,FIND("-",[1]Sheet1!F883)-FIND("(",[1]Sheet1!F883)-1)</f>
        <v>广东</v>
      </c>
      <c r="E883" s="2" t="str">
        <f>MID([1]Sheet1!F883,FIND("-",[1]Sheet1!F883)+1,FIND(")",[1]Sheet1!F883)-FIND("-",[1]Sheet1!F883)-1)</f>
        <v>广州</v>
      </c>
      <c r="F883" s="2" t="s">
        <v>159</v>
      </c>
      <c r="G883" s="2" t="s">
        <v>81</v>
      </c>
      <c r="H883" s="2" t="s">
        <v>20</v>
      </c>
      <c r="I883" s="2" t="s">
        <v>51</v>
      </c>
      <c r="J883" s="2" t="s">
        <v>22</v>
      </c>
      <c r="K883" s="2" t="s">
        <v>115</v>
      </c>
      <c r="L883" s="2" t="s">
        <v>24</v>
      </c>
      <c r="M883" s="2" t="s">
        <v>143</v>
      </c>
      <c r="N883" s="2" t="s">
        <v>46</v>
      </c>
      <c r="O883" s="2" t="s">
        <v>47</v>
      </c>
      <c r="P883" s="2" t="s">
        <v>1219</v>
      </c>
      <c r="Q883" s="2" t="s">
        <v>29</v>
      </c>
    </row>
    <row r="884" spans="1:17">
      <c r="A884" s="2" t="s">
        <v>1220</v>
      </c>
      <c r="B884" s="2" t="str">
        <f>[1]Sheet1!M884</f>
        <v>男</v>
      </c>
      <c r="C884" s="3" t="str" cm="1">
        <f t="array" ref="C8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84" s="2" t="str">
        <f>MID([1]Sheet1!F884,FIND("(",[1]Sheet1!F884)+1,FIND("-",[1]Sheet1!F884)-FIND("(",[1]Sheet1!F884)-1)</f>
        <v>广东</v>
      </c>
      <c r="E884" s="2" t="str">
        <f>MID([1]Sheet1!F884,FIND("-",[1]Sheet1!F884)+1,FIND(")",[1]Sheet1!F884)-FIND("-",[1]Sheet1!F884)-1)</f>
        <v>东莞</v>
      </c>
      <c r="F884" s="2" t="s">
        <v>159</v>
      </c>
      <c r="G884" s="2" t="s">
        <v>81</v>
      </c>
      <c r="H884" s="2" t="s">
        <v>20</v>
      </c>
      <c r="I884" s="2" t="s">
        <v>21</v>
      </c>
      <c r="J884" s="2" t="s">
        <v>35</v>
      </c>
      <c r="K884" s="2" t="s">
        <v>117</v>
      </c>
      <c r="L884" s="2" t="s">
        <v>24</v>
      </c>
      <c r="M884" s="2" t="s">
        <v>100</v>
      </c>
      <c r="N884" s="2" t="s">
        <v>37</v>
      </c>
      <c r="O884" s="2" t="s">
        <v>47</v>
      </c>
      <c r="P884" s="2" t="s">
        <v>63</v>
      </c>
      <c r="Q884" s="2" t="s">
        <v>1157</v>
      </c>
    </row>
    <row r="885" spans="1:17">
      <c r="A885" s="2" t="s">
        <v>1221</v>
      </c>
      <c r="B885" s="2" t="str">
        <f>[1]Sheet1!M885</f>
        <v>男</v>
      </c>
      <c r="C885" s="3" t="str" cm="1">
        <f t="array" ref="C8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85" s="2" t="str">
        <f>MID([1]Sheet1!F885,FIND("(",[1]Sheet1!F885)+1,FIND("-",[1]Sheet1!F885)-FIND("(",[1]Sheet1!F885)-1)</f>
        <v>安徽</v>
      </c>
      <c r="E885" s="2" t="str">
        <f>MID([1]Sheet1!F885,FIND("-",[1]Sheet1!F885)+1,FIND(")",[1]Sheet1!F885)-FIND("-",[1]Sheet1!F885)-1)</f>
        <v>安庆</v>
      </c>
      <c r="F885" s="2" t="s">
        <v>70</v>
      </c>
      <c r="G885" s="2" t="s">
        <v>114</v>
      </c>
      <c r="H885" s="2" t="s">
        <v>33</v>
      </c>
      <c r="I885" s="2" t="s">
        <v>21</v>
      </c>
      <c r="J885" s="2" t="s">
        <v>44</v>
      </c>
      <c r="K885" s="2" t="s">
        <v>121</v>
      </c>
      <c r="L885" s="2" t="s">
        <v>83</v>
      </c>
      <c r="M885" s="2" t="s">
        <v>111</v>
      </c>
      <c r="N885" s="2" t="s">
        <v>37</v>
      </c>
      <c r="O885" s="2" t="s">
        <v>47</v>
      </c>
      <c r="P885" s="2" t="s">
        <v>28</v>
      </c>
      <c r="Q885" s="2" t="s">
        <v>101</v>
      </c>
    </row>
    <row r="886" spans="1:17">
      <c r="A886" s="2" t="s">
        <v>1222</v>
      </c>
      <c r="B886" s="2" t="str">
        <f>[1]Sheet1!M886</f>
        <v>男</v>
      </c>
      <c r="C886" s="3" t="str" cm="1">
        <f t="array" ref="C8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86" s="2" t="str">
        <f>MID([1]Sheet1!F886,FIND("(",[1]Sheet1!F886)+1,FIND("-",[1]Sheet1!F886)-FIND("(",[1]Sheet1!F886)-1)</f>
        <v>湖南</v>
      </c>
      <c r="E886" s="2" t="str">
        <f>MID([1]Sheet1!F886,FIND("-",[1]Sheet1!F886)+1,FIND(")",[1]Sheet1!F886)-FIND("-",[1]Sheet1!F886)-1)</f>
        <v>长沙</v>
      </c>
      <c r="F886" s="2" t="s">
        <v>159</v>
      </c>
      <c r="G886" s="2" t="s">
        <v>81</v>
      </c>
      <c r="H886" s="2" t="s">
        <v>66</v>
      </c>
      <c r="I886" s="2" t="s">
        <v>43</v>
      </c>
      <c r="J886" s="2" t="s">
        <v>56</v>
      </c>
      <c r="K886" s="2" t="s">
        <v>117</v>
      </c>
      <c r="L886" s="2" t="s">
        <v>24</v>
      </c>
      <c r="M886" s="2" t="s">
        <v>143</v>
      </c>
      <c r="N886" s="2" t="s">
        <v>26</v>
      </c>
      <c r="O886" s="2" t="s">
        <v>58</v>
      </c>
      <c r="P886" s="2" t="s">
        <v>28</v>
      </c>
      <c r="Q886" s="2" t="s">
        <v>356</v>
      </c>
    </row>
    <row r="887" spans="1:17">
      <c r="A887" s="2" t="s">
        <v>1223</v>
      </c>
      <c r="B887" s="2" t="str">
        <f>[1]Sheet1!M887</f>
        <v>男</v>
      </c>
      <c r="C887" s="3" t="str" cm="1">
        <f t="array" ref="C8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87" s="2" t="str">
        <f>MID([1]Sheet1!F887,FIND("(",[1]Sheet1!F887)+1,FIND("-",[1]Sheet1!F887)-FIND("(",[1]Sheet1!F887)-1)</f>
        <v>广东</v>
      </c>
      <c r="E887" s="2" t="str">
        <f>MID([1]Sheet1!F887,FIND("-",[1]Sheet1!F887)+1,FIND(")",[1]Sheet1!F887)-FIND("-",[1]Sheet1!F887)-1)</f>
        <v>东莞</v>
      </c>
      <c r="F887" s="2" t="s">
        <v>18</v>
      </c>
      <c r="G887" s="2" t="s">
        <v>32</v>
      </c>
      <c r="H887" s="2" t="s">
        <v>20</v>
      </c>
      <c r="I887" s="2" t="s">
        <v>51</v>
      </c>
      <c r="J887" s="2" t="s">
        <v>82</v>
      </c>
      <c r="K887" s="2" t="s">
        <v>115</v>
      </c>
      <c r="L887" s="2" t="s">
        <v>24</v>
      </c>
      <c r="M887" s="2" t="s">
        <v>71</v>
      </c>
      <c r="N887" s="2" t="s">
        <v>37</v>
      </c>
      <c r="O887" s="2" t="s">
        <v>47</v>
      </c>
      <c r="P887" s="2" t="s">
        <v>63</v>
      </c>
      <c r="Q887" s="2" t="s">
        <v>144</v>
      </c>
    </row>
    <row r="888" spans="1:17">
      <c r="A888" s="2" t="s">
        <v>1224</v>
      </c>
      <c r="B888" s="2" t="str">
        <f>[1]Sheet1!M888</f>
        <v>男</v>
      </c>
      <c r="C888" s="3" t="str" cm="1">
        <f t="array" ref="C8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88" s="2" t="str">
        <f>MID([1]Sheet1!F888,FIND("(",[1]Sheet1!F888)+1,FIND("-",[1]Sheet1!F888)-FIND("(",[1]Sheet1!F888)-1)</f>
        <v>河北</v>
      </c>
      <c r="E888" s="2" t="str">
        <f>MID([1]Sheet1!F888,FIND("-",[1]Sheet1!F888)+1,FIND(")",[1]Sheet1!F888)-FIND("-",[1]Sheet1!F888)-1)</f>
        <v>沧州</v>
      </c>
      <c r="F888" s="2" t="s">
        <v>42</v>
      </c>
      <c r="G888" s="2" t="s">
        <v>50</v>
      </c>
      <c r="H888" s="2" t="s">
        <v>66</v>
      </c>
      <c r="I888" s="2" t="s">
        <v>21</v>
      </c>
      <c r="J888" s="2" t="s">
        <v>96</v>
      </c>
      <c r="K888" s="2" t="s">
        <v>121</v>
      </c>
      <c r="L888" s="2" t="s">
        <v>24</v>
      </c>
      <c r="M888" s="2" t="s">
        <v>36</v>
      </c>
      <c r="N888" s="2" t="s">
        <v>37</v>
      </c>
      <c r="O888" s="2" t="s">
        <v>62</v>
      </c>
      <c r="P888" s="2" t="s">
        <v>86</v>
      </c>
      <c r="Q888" s="2" t="s">
        <v>157</v>
      </c>
    </row>
    <row r="889" spans="1:17">
      <c r="A889" s="2" t="s">
        <v>1224</v>
      </c>
      <c r="B889" s="2" t="str">
        <f>[1]Sheet1!M889</f>
        <v>男</v>
      </c>
      <c r="C889" s="3" t="str" cm="1">
        <f t="array" ref="C8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89" s="2" t="str">
        <f>MID([1]Sheet1!F889,FIND("(",[1]Sheet1!F889)+1,FIND("-",[1]Sheet1!F889)-FIND("(",[1]Sheet1!F889)-1)</f>
        <v>河北</v>
      </c>
      <c r="E889" s="2" t="str">
        <f>MID([1]Sheet1!F889,FIND("-",[1]Sheet1!F889)+1,FIND(")",[1]Sheet1!F889)-FIND("-",[1]Sheet1!F889)-1)</f>
        <v>沧州</v>
      </c>
      <c r="F889" s="2" t="s">
        <v>42</v>
      </c>
      <c r="G889" s="2" t="s">
        <v>50</v>
      </c>
      <c r="H889" s="2" t="s">
        <v>66</v>
      </c>
      <c r="I889" s="2" t="s">
        <v>21</v>
      </c>
      <c r="J889" s="2" t="s">
        <v>96</v>
      </c>
      <c r="K889" s="2" t="s">
        <v>121</v>
      </c>
      <c r="L889" s="2" t="s">
        <v>24</v>
      </c>
      <c r="M889" s="2" t="s">
        <v>36</v>
      </c>
      <c r="N889" s="2" t="s">
        <v>37</v>
      </c>
      <c r="O889" s="2" t="s">
        <v>152</v>
      </c>
      <c r="P889" s="2" t="s">
        <v>86</v>
      </c>
      <c r="Q889" s="2" t="s">
        <v>123</v>
      </c>
    </row>
    <row r="890" spans="1:17">
      <c r="A890" s="2" t="s">
        <v>1224</v>
      </c>
      <c r="B890" s="2" t="str">
        <f>[1]Sheet1!M890</f>
        <v>男</v>
      </c>
      <c r="C890" s="3" t="str" cm="1">
        <f t="array" ref="C8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90" s="2" t="str">
        <f>MID([1]Sheet1!F890,FIND("(",[1]Sheet1!F890)+1,FIND("-",[1]Sheet1!F890)-FIND("(",[1]Sheet1!F890)-1)</f>
        <v>河北</v>
      </c>
      <c r="E890" s="2" t="str">
        <f>MID([1]Sheet1!F890,FIND("-",[1]Sheet1!F890)+1,FIND(")",[1]Sheet1!F890)-FIND("-",[1]Sheet1!F890)-1)</f>
        <v>沧州</v>
      </c>
      <c r="F890" s="2" t="s">
        <v>42</v>
      </c>
      <c r="G890" s="2" t="s">
        <v>50</v>
      </c>
      <c r="H890" s="2" t="s">
        <v>66</v>
      </c>
      <c r="I890" s="2" t="s">
        <v>21</v>
      </c>
      <c r="J890" s="2" t="s">
        <v>96</v>
      </c>
      <c r="K890" s="2" t="s">
        <v>121</v>
      </c>
      <c r="L890" s="2" t="s">
        <v>24</v>
      </c>
      <c r="M890" s="2" t="s">
        <v>36</v>
      </c>
      <c r="N890" s="2" t="s">
        <v>37</v>
      </c>
      <c r="O890" s="2" t="s">
        <v>152</v>
      </c>
      <c r="P890" s="2" t="s">
        <v>86</v>
      </c>
      <c r="Q890" s="2" t="s">
        <v>29</v>
      </c>
    </row>
    <row r="891" spans="1:17">
      <c r="A891" s="2" t="s">
        <v>1225</v>
      </c>
      <c r="B891" s="2" t="str">
        <f>[1]Sheet1!M891</f>
        <v>男</v>
      </c>
      <c r="C891" s="3" t="str" cm="1">
        <f t="array" ref="C8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91" s="2" t="str">
        <f>MID([1]Sheet1!F891,FIND("(",[1]Sheet1!F891)+1,FIND("-",[1]Sheet1!F891)-FIND("(",[1]Sheet1!F891)-1)</f>
        <v>天津</v>
      </c>
      <c r="E891" s="2" t="str">
        <f>MID([1]Sheet1!F891,FIND("-",[1]Sheet1!F891)+1,FIND(")",[1]Sheet1!F891)-FIND("-",[1]Sheet1!F891)-1)</f>
        <v>天津</v>
      </c>
      <c r="F891" s="2" t="s">
        <v>18</v>
      </c>
      <c r="G891" s="2" t="s">
        <v>162</v>
      </c>
      <c r="H891" s="2" t="s">
        <v>66</v>
      </c>
      <c r="I891" s="2" t="s">
        <v>51</v>
      </c>
      <c r="J891" s="2" t="s">
        <v>22</v>
      </c>
      <c r="K891" s="2" t="s">
        <v>121</v>
      </c>
      <c r="L891" s="2" t="s">
        <v>24</v>
      </c>
      <c r="M891" s="2" t="s">
        <v>57</v>
      </c>
      <c r="N891" s="2" t="s">
        <v>37</v>
      </c>
      <c r="O891" s="2" t="s">
        <v>178</v>
      </c>
      <c r="P891" s="2" t="s">
        <v>39</v>
      </c>
      <c r="Q891" s="2" t="s">
        <v>48</v>
      </c>
    </row>
    <row r="892" spans="1:17">
      <c r="A892" s="2" t="s">
        <v>1226</v>
      </c>
      <c r="B892" s="2" t="str">
        <f>[1]Sheet1!M892</f>
        <v>男</v>
      </c>
      <c r="C892" s="3" t="str" cm="1">
        <f t="array" ref="C8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92" s="2" t="str">
        <f>MID([1]Sheet1!F892,FIND("(",[1]Sheet1!F892)+1,FIND("-",[1]Sheet1!F892)-FIND("(",[1]Sheet1!F892)-1)</f>
        <v>广东</v>
      </c>
      <c r="E892" s="2" t="str">
        <f>MID([1]Sheet1!F892,FIND("-",[1]Sheet1!F892)+1,FIND(")",[1]Sheet1!F892)-FIND("-",[1]Sheet1!F892)-1)</f>
        <v>东莞</v>
      </c>
      <c r="F892" s="2" t="s">
        <v>31</v>
      </c>
      <c r="G892" s="2" t="s">
        <v>50</v>
      </c>
      <c r="H892" s="2" t="s">
        <v>66</v>
      </c>
      <c r="I892" s="2" t="s">
        <v>43</v>
      </c>
      <c r="J892" s="2" t="s">
        <v>35</v>
      </c>
      <c r="K892" s="2" t="s">
        <v>115</v>
      </c>
      <c r="L892" s="2" t="s">
        <v>24</v>
      </c>
      <c r="M892" s="2" t="s">
        <v>78</v>
      </c>
      <c r="N892" s="2" t="s">
        <v>37</v>
      </c>
      <c r="O892" s="2" t="s">
        <v>187</v>
      </c>
      <c r="P892" s="2" t="s">
        <v>86</v>
      </c>
      <c r="Q892" s="2" t="s">
        <v>267</v>
      </c>
    </row>
    <row r="893" spans="1:17">
      <c r="A893" s="2" t="s">
        <v>1227</v>
      </c>
      <c r="B893" s="2" t="str">
        <f>[1]Sheet1!M893</f>
        <v>男</v>
      </c>
      <c r="C893" s="3" t="str" cm="1">
        <f t="array" ref="C8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893" s="2" t="str">
        <f>MID([1]Sheet1!F893,FIND("(",[1]Sheet1!F893)+1,FIND("-",[1]Sheet1!F893)-FIND("(",[1]Sheet1!F893)-1)</f>
        <v>云南</v>
      </c>
      <c r="E893" s="2" t="str">
        <f>MID([1]Sheet1!F893,FIND("-",[1]Sheet1!F893)+1,FIND(")",[1]Sheet1!F893)-FIND("-",[1]Sheet1!F893)-1)</f>
        <v>红河</v>
      </c>
      <c r="F893" s="2" t="s">
        <v>42</v>
      </c>
      <c r="G893" s="2" t="s">
        <v>50</v>
      </c>
      <c r="H893" s="2" t="s">
        <v>66</v>
      </c>
      <c r="I893" s="2" t="s">
        <v>51</v>
      </c>
      <c r="J893" s="2" t="s">
        <v>56</v>
      </c>
      <c r="K893" s="2" t="s">
        <v>117</v>
      </c>
      <c r="L893" s="2" t="s">
        <v>24</v>
      </c>
      <c r="M893" s="2" t="s">
        <v>67</v>
      </c>
      <c r="N893" s="2" t="s">
        <v>37</v>
      </c>
      <c r="O893" s="2" t="s">
        <v>398</v>
      </c>
      <c r="P893" s="2" t="s">
        <v>179</v>
      </c>
      <c r="Q893" s="2" t="s">
        <v>195</v>
      </c>
    </row>
    <row r="894" spans="1:17">
      <c r="A894" s="2" t="s">
        <v>1228</v>
      </c>
      <c r="B894" s="2" t="str">
        <f>[1]Sheet1!M894</f>
        <v>男</v>
      </c>
      <c r="C894" s="3" t="str" cm="1">
        <f t="array" ref="C8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94" s="2" t="str">
        <f>MID([1]Sheet1!F894,FIND("(",[1]Sheet1!F894)+1,FIND("-",[1]Sheet1!F894)-FIND("(",[1]Sheet1!F894)-1)</f>
        <v>广西</v>
      </c>
      <c r="E894" s="2" t="str">
        <f>MID([1]Sheet1!F894,FIND("-",[1]Sheet1!F894)+1,FIND(")",[1]Sheet1!F894)-FIND("-",[1]Sheet1!F894)-1)</f>
        <v>百色</v>
      </c>
      <c r="F894" s="2" t="s">
        <v>31</v>
      </c>
      <c r="G894" s="2" t="s">
        <v>19</v>
      </c>
      <c r="H894" s="2" t="s">
        <v>66</v>
      </c>
      <c r="I894" s="2" t="s">
        <v>43</v>
      </c>
      <c r="J894" s="2" t="s">
        <v>56</v>
      </c>
      <c r="K894" s="2" t="s">
        <v>137</v>
      </c>
      <c r="L894" s="2" t="s">
        <v>83</v>
      </c>
      <c r="M894" s="2" t="s">
        <v>126</v>
      </c>
      <c r="N894" s="2" t="s">
        <v>46</v>
      </c>
      <c r="O894" s="2" t="s">
        <v>47</v>
      </c>
      <c r="P894" s="2" t="s">
        <v>39</v>
      </c>
      <c r="Q894" s="2" t="s">
        <v>183</v>
      </c>
    </row>
    <row r="895" spans="1:17">
      <c r="A895" s="2" t="s">
        <v>1229</v>
      </c>
      <c r="B895" s="2" t="str">
        <f>[1]Sheet1!M895</f>
        <v>男</v>
      </c>
      <c r="C895" s="3" t="str" cm="1">
        <f t="array" ref="C8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95" s="2" t="str">
        <f>MID([1]Sheet1!F895,FIND("(",[1]Sheet1!F895)+1,FIND("-",[1]Sheet1!F895)-FIND("(",[1]Sheet1!F895)-1)</f>
        <v>河北</v>
      </c>
      <c r="E895" s="2" t="str">
        <f>MID([1]Sheet1!F895,FIND("-",[1]Sheet1!F895)+1,FIND(")",[1]Sheet1!F895)-FIND("-",[1]Sheet1!F895)-1)</f>
        <v>沧州</v>
      </c>
      <c r="F895" s="2" t="s">
        <v>31</v>
      </c>
      <c r="G895" s="2" t="s">
        <v>50</v>
      </c>
      <c r="H895" s="2" t="s">
        <v>20</v>
      </c>
      <c r="I895" s="2" t="s">
        <v>21</v>
      </c>
      <c r="J895" s="2" t="s">
        <v>22</v>
      </c>
      <c r="K895" s="2" t="s">
        <v>121</v>
      </c>
      <c r="L895" s="2" t="s">
        <v>24</v>
      </c>
      <c r="M895" s="2" t="s">
        <v>111</v>
      </c>
      <c r="N895" s="2" t="s">
        <v>37</v>
      </c>
      <c r="O895" s="2" t="s">
        <v>202</v>
      </c>
      <c r="P895" s="2" t="s">
        <v>218</v>
      </c>
      <c r="Q895" s="2" t="s">
        <v>133</v>
      </c>
    </row>
    <row r="896" spans="1:17">
      <c r="A896" s="2" t="s">
        <v>1230</v>
      </c>
      <c r="B896" s="2" t="str">
        <f>[1]Sheet1!M896</f>
        <v>女</v>
      </c>
      <c r="C896" s="3" t="str" cm="1">
        <f t="array" ref="C8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896" s="2" t="str">
        <f>MID([1]Sheet1!F896,FIND("(",[1]Sheet1!F896)+1,FIND("-",[1]Sheet1!F896)-FIND("(",[1]Sheet1!F896)-1)</f>
        <v>河北</v>
      </c>
      <c r="E896" s="2" t="str">
        <f>MID([1]Sheet1!F896,FIND("-",[1]Sheet1!F896)+1,FIND(")",[1]Sheet1!F896)-FIND("-",[1]Sheet1!F896)-1)</f>
        <v>沧州</v>
      </c>
      <c r="F896" s="2" t="s">
        <v>31</v>
      </c>
      <c r="G896" s="2" t="s">
        <v>32</v>
      </c>
      <c r="H896" s="2" t="s">
        <v>66</v>
      </c>
      <c r="I896" s="2" t="s">
        <v>120</v>
      </c>
      <c r="J896" s="2" t="s">
        <v>56</v>
      </c>
      <c r="K896" s="2" t="s">
        <v>402</v>
      </c>
      <c r="L896" s="2" t="s">
        <v>24</v>
      </c>
      <c r="M896" s="2" t="s">
        <v>67</v>
      </c>
      <c r="N896" s="2" t="s">
        <v>46</v>
      </c>
      <c r="O896" s="2" t="s">
        <v>58</v>
      </c>
      <c r="P896" s="2" t="s">
        <v>63</v>
      </c>
      <c r="Q896" s="2" t="s">
        <v>267</v>
      </c>
    </row>
    <row r="897" spans="1:17">
      <c r="A897" s="2" t="s">
        <v>1231</v>
      </c>
      <c r="B897" s="2" t="str">
        <f>[1]Sheet1!M897</f>
        <v>男</v>
      </c>
      <c r="C897" s="3" t="str" cm="1">
        <f t="array" ref="C8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897" s="2" t="str">
        <f>MID([1]Sheet1!F897,FIND("(",[1]Sheet1!F897)+1,FIND("-",[1]Sheet1!F897)-FIND("(",[1]Sheet1!F897)-1)</f>
        <v>广东</v>
      </c>
      <c r="E897" s="2" t="str">
        <f>MID([1]Sheet1!F897,FIND("-",[1]Sheet1!F897)+1,FIND(")",[1]Sheet1!F897)-FIND("-",[1]Sheet1!F897)-1)</f>
        <v>深圳</v>
      </c>
      <c r="F897" s="2" t="s">
        <v>159</v>
      </c>
      <c r="G897" s="2" t="s">
        <v>50</v>
      </c>
      <c r="H897" s="2" t="s">
        <v>20</v>
      </c>
      <c r="I897" s="2" t="s">
        <v>120</v>
      </c>
      <c r="J897" s="2" t="s">
        <v>82</v>
      </c>
      <c r="K897" s="2" t="s">
        <v>115</v>
      </c>
      <c r="L897" s="2" t="s">
        <v>83</v>
      </c>
      <c r="M897" s="2" t="s">
        <v>67</v>
      </c>
      <c r="N897" s="2" t="s">
        <v>37</v>
      </c>
      <c r="O897" s="2" t="s">
        <v>27</v>
      </c>
      <c r="P897" s="2" t="s">
        <v>28</v>
      </c>
      <c r="Q897" s="2" t="s">
        <v>48</v>
      </c>
    </row>
    <row r="898" spans="1:17">
      <c r="A898" s="2" t="s">
        <v>1232</v>
      </c>
      <c r="B898" s="2" t="str">
        <f>[1]Sheet1!M898</f>
        <v>男</v>
      </c>
      <c r="C898" s="3" t="str" cm="1">
        <f t="array" ref="C8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898" s="2" t="str">
        <f>MID([1]Sheet1!F898,FIND("(",[1]Sheet1!F898)+1,FIND("-",[1]Sheet1!F898)-FIND("(",[1]Sheet1!F898)-1)</f>
        <v>辽宁</v>
      </c>
      <c r="E898" s="2" t="str">
        <f>MID([1]Sheet1!F898,FIND("-",[1]Sheet1!F898)+1,FIND(")",[1]Sheet1!F898)-FIND("-",[1]Sheet1!F898)-1)</f>
        <v>锦州</v>
      </c>
      <c r="F898" s="2" t="s">
        <v>31</v>
      </c>
      <c r="G898" s="2" t="s">
        <v>32</v>
      </c>
      <c r="H898" s="2" t="s">
        <v>33</v>
      </c>
      <c r="I898" s="2" t="s">
        <v>21</v>
      </c>
      <c r="J898" s="2" t="s">
        <v>22</v>
      </c>
      <c r="K898" s="2" t="s">
        <v>372</v>
      </c>
      <c r="L898" s="2" t="s">
        <v>24</v>
      </c>
      <c r="M898" s="2" t="s">
        <v>36</v>
      </c>
      <c r="N898" s="2" t="s">
        <v>37</v>
      </c>
      <c r="O898" s="2" t="s">
        <v>545</v>
      </c>
      <c r="P898" s="2" t="s">
        <v>39</v>
      </c>
      <c r="Q898" s="2" t="s">
        <v>144</v>
      </c>
    </row>
    <row r="899" spans="1:17">
      <c r="A899" s="2" t="s">
        <v>1233</v>
      </c>
      <c r="B899" s="2" t="str">
        <f>[1]Sheet1!M899</f>
        <v>男</v>
      </c>
      <c r="C899" s="3" t="str" cm="1">
        <f t="array" ref="C8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899)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899" s="2" t="str">
        <f>MID([1]Sheet1!F899,FIND("(",[1]Sheet1!F899)+1,FIND("-",[1]Sheet1!F899)-FIND("(",[1]Sheet1!F899)-1)</f>
        <v>安徽</v>
      </c>
      <c r="E899" s="2" t="str">
        <f>MID([1]Sheet1!F899,FIND("-",[1]Sheet1!F899)+1,FIND(")",[1]Sheet1!F899)-FIND("-",[1]Sheet1!F899)-1)</f>
        <v>合肥</v>
      </c>
      <c r="F899" s="2" t="s">
        <v>18</v>
      </c>
      <c r="G899" s="2" t="s">
        <v>32</v>
      </c>
      <c r="H899" s="2" t="s">
        <v>20</v>
      </c>
      <c r="I899" s="2" t="s">
        <v>21</v>
      </c>
      <c r="J899" s="2" t="s">
        <v>82</v>
      </c>
      <c r="K899" s="2" t="s">
        <v>169</v>
      </c>
      <c r="L899" s="2" t="s">
        <v>83</v>
      </c>
      <c r="M899" s="2" t="s">
        <v>143</v>
      </c>
      <c r="N899" s="2" t="s">
        <v>37</v>
      </c>
      <c r="O899" s="2" t="s">
        <v>380</v>
      </c>
      <c r="P899" s="2" t="s">
        <v>86</v>
      </c>
      <c r="Q899" s="2" t="s">
        <v>1234</v>
      </c>
    </row>
    <row r="900" spans="1:17">
      <c r="A900" s="2" t="s">
        <v>1235</v>
      </c>
      <c r="B900" s="2" t="str">
        <f>[1]Sheet1!M900</f>
        <v>男</v>
      </c>
      <c r="C900" s="3" t="str" cm="1">
        <f t="array" ref="C9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00" s="2" t="str">
        <f>MID([1]Sheet1!F900,FIND("(",[1]Sheet1!F900)+1,FIND("-",[1]Sheet1!F900)-FIND("(",[1]Sheet1!F900)-1)</f>
        <v>安徽</v>
      </c>
      <c r="E900" s="2" t="str">
        <f>MID([1]Sheet1!F900,FIND("-",[1]Sheet1!F900)+1,FIND(")",[1]Sheet1!F900)-FIND("-",[1]Sheet1!F900)-1)</f>
        <v>六安</v>
      </c>
      <c r="F900" s="2" t="s">
        <v>70</v>
      </c>
      <c r="G900" s="2" t="s">
        <v>114</v>
      </c>
      <c r="H900" s="2" t="s">
        <v>55</v>
      </c>
      <c r="I900" s="2" t="s">
        <v>43</v>
      </c>
      <c r="J900" s="2" t="s">
        <v>35</v>
      </c>
      <c r="K900" s="2" t="s">
        <v>167</v>
      </c>
      <c r="L900" s="2" t="s">
        <v>24</v>
      </c>
      <c r="M900" s="2" t="s">
        <v>78</v>
      </c>
      <c r="N900" s="2" t="s">
        <v>37</v>
      </c>
      <c r="O900" s="2" t="s">
        <v>58</v>
      </c>
      <c r="P900" s="2" t="s">
        <v>63</v>
      </c>
      <c r="Q900" s="2" t="s">
        <v>150</v>
      </c>
    </row>
    <row r="901" spans="1:17">
      <c r="A901" s="2" t="s">
        <v>1236</v>
      </c>
      <c r="B901" s="2" t="str">
        <f>[1]Sheet1!M901</f>
        <v>女</v>
      </c>
      <c r="C901" s="3" t="str" cm="1">
        <f t="array" ref="C9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01" s="2" t="str">
        <f>MID([1]Sheet1!F901,FIND("(",[1]Sheet1!F901)+1,FIND("-",[1]Sheet1!F901)-FIND("(",[1]Sheet1!F901)-1)</f>
        <v>广西</v>
      </c>
      <c r="E901" s="2" t="str">
        <f>MID([1]Sheet1!F901,FIND("-",[1]Sheet1!F901)+1,FIND(")",[1]Sheet1!F901)-FIND("-",[1]Sheet1!F901)-1)</f>
        <v>南宁</v>
      </c>
      <c r="F901" s="2" t="s">
        <v>159</v>
      </c>
      <c r="G901" s="2" t="s">
        <v>50</v>
      </c>
      <c r="H901" s="2" t="s">
        <v>20</v>
      </c>
      <c r="I901" s="2" t="s">
        <v>43</v>
      </c>
      <c r="J901" s="2" t="s">
        <v>44</v>
      </c>
      <c r="K901" s="2" t="s">
        <v>117</v>
      </c>
      <c r="L901" s="2" t="s">
        <v>83</v>
      </c>
      <c r="M901" s="2" t="s">
        <v>126</v>
      </c>
      <c r="N901" s="2" t="s">
        <v>37</v>
      </c>
      <c r="O901" s="2" t="s">
        <v>27</v>
      </c>
      <c r="P901" s="2" t="s">
        <v>59</v>
      </c>
      <c r="Q901" s="2" t="s">
        <v>183</v>
      </c>
    </row>
    <row r="902" spans="1:17">
      <c r="A902" s="2" t="s">
        <v>1237</v>
      </c>
      <c r="B902" s="2" t="str">
        <f>[1]Sheet1!M902</f>
        <v>男</v>
      </c>
      <c r="C902" s="3" t="str" cm="1">
        <f t="array" ref="C9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02" s="2" t="str">
        <f>MID([1]Sheet1!F902,FIND("(",[1]Sheet1!F902)+1,FIND("-",[1]Sheet1!F902)-FIND("(",[1]Sheet1!F902)-1)</f>
        <v>贵州</v>
      </c>
      <c r="E902" s="2" t="str">
        <f>MID([1]Sheet1!F902,FIND("-",[1]Sheet1!F902)+1,FIND(")",[1]Sheet1!F902)-FIND("-",[1]Sheet1!F902)-1)</f>
        <v>黔南</v>
      </c>
      <c r="F902" s="2" t="s">
        <v>42</v>
      </c>
      <c r="G902" s="2" t="s">
        <v>81</v>
      </c>
      <c r="H902" s="2" t="s">
        <v>66</v>
      </c>
      <c r="I902" s="2" t="s">
        <v>21</v>
      </c>
      <c r="J902" s="2" t="s">
        <v>96</v>
      </c>
      <c r="K902" s="2" t="s">
        <v>115</v>
      </c>
      <c r="L902" s="2" t="s">
        <v>24</v>
      </c>
      <c r="M902" s="2" t="s">
        <v>25</v>
      </c>
      <c r="N902" s="2" t="s">
        <v>37</v>
      </c>
      <c r="O902" s="2" t="s">
        <v>47</v>
      </c>
      <c r="P902" s="2" t="s">
        <v>86</v>
      </c>
      <c r="Q902" s="2" t="s">
        <v>68</v>
      </c>
    </row>
    <row r="903" spans="1:17">
      <c r="A903" s="2" t="s">
        <v>1238</v>
      </c>
      <c r="B903" s="2" t="str">
        <f>[1]Sheet1!M903</f>
        <v>男</v>
      </c>
      <c r="C903" s="3" t="str" cm="1">
        <f t="array" ref="C9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903" s="2" t="str">
        <f>MID([1]Sheet1!F903,FIND("(",[1]Sheet1!F903)+1,FIND("-",[1]Sheet1!F903)-FIND("(",[1]Sheet1!F903)-1)</f>
        <v>内蒙古</v>
      </c>
      <c r="E903" s="2" t="str">
        <f>MID([1]Sheet1!F903,FIND("-",[1]Sheet1!F903)+1,FIND(")",[1]Sheet1!F903)-FIND("-",[1]Sheet1!F903)-1)</f>
        <v>通辽</v>
      </c>
      <c r="F903" s="2" t="s">
        <v>31</v>
      </c>
      <c r="G903" s="2" t="s">
        <v>81</v>
      </c>
      <c r="H903" s="2" t="s">
        <v>66</v>
      </c>
      <c r="I903" s="2" t="s">
        <v>34</v>
      </c>
      <c r="J903" s="2" t="s">
        <v>82</v>
      </c>
      <c r="K903" s="2" t="s">
        <v>130</v>
      </c>
      <c r="L903" s="2" t="s">
        <v>83</v>
      </c>
      <c r="M903" s="2" t="s">
        <v>67</v>
      </c>
      <c r="N903" s="2" t="s">
        <v>37</v>
      </c>
      <c r="O903" s="2" t="s">
        <v>192</v>
      </c>
      <c r="P903" s="2" t="s">
        <v>86</v>
      </c>
      <c r="Q903" s="2" t="s">
        <v>94</v>
      </c>
    </row>
    <row r="904" spans="1:17">
      <c r="A904" s="2" t="s">
        <v>1239</v>
      </c>
      <c r="B904" s="2" t="str">
        <f>[1]Sheet1!M904</f>
        <v>男</v>
      </c>
      <c r="C904" s="3" t="str" cm="1">
        <f t="array" ref="C9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04" s="2" t="str">
        <f>MID([1]Sheet1!F904,FIND("(",[1]Sheet1!F904)+1,FIND("-",[1]Sheet1!F904)-FIND("(",[1]Sheet1!F904)-1)</f>
        <v>山东</v>
      </c>
      <c r="E904" s="2" t="str">
        <f>MID([1]Sheet1!F904,FIND("-",[1]Sheet1!F904)+1,FIND(")",[1]Sheet1!F904)-FIND("-",[1]Sheet1!F904)-1)</f>
        <v>东营</v>
      </c>
      <c r="F904" s="2" t="s">
        <v>159</v>
      </c>
      <c r="G904" s="2" t="s">
        <v>32</v>
      </c>
      <c r="H904" s="2" t="s">
        <v>66</v>
      </c>
      <c r="I904" s="2" t="s">
        <v>34</v>
      </c>
      <c r="J904" s="2" t="s">
        <v>56</v>
      </c>
      <c r="K904" s="2" t="s">
        <v>130</v>
      </c>
      <c r="L904" s="2" t="s">
        <v>24</v>
      </c>
      <c r="M904" s="2" t="s">
        <v>36</v>
      </c>
      <c r="N904" s="2" t="s">
        <v>37</v>
      </c>
      <c r="O904" s="2" t="s">
        <v>47</v>
      </c>
      <c r="P904" s="2" t="s">
        <v>28</v>
      </c>
      <c r="Q904" s="2" t="s">
        <v>346</v>
      </c>
    </row>
    <row r="905" spans="1:17">
      <c r="A905" s="2" t="s">
        <v>1240</v>
      </c>
      <c r="B905" s="2" t="str">
        <f>[1]Sheet1!M905</f>
        <v>男</v>
      </c>
      <c r="C905" s="3" t="str" cm="1">
        <f t="array" ref="C9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05" s="2" t="str">
        <f>MID([1]Sheet1!F905,FIND("(",[1]Sheet1!F905)+1,FIND("-",[1]Sheet1!F905)-FIND("(",[1]Sheet1!F905)-1)</f>
        <v>山东</v>
      </c>
      <c r="E905" s="2" t="str">
        <f>MID([1]Sheet1!F905,FIND("-",[1]Sheet1!F905)+1,FIND(")",[1]Sheet1!F905)-FIND("-",[1]Sheet1!F905)-1)</f>
        <v>济宁</v>
      </c>
      <c r="F905" s="2" t="s">
        <v>42</v>
      </c>
      <c r="G905" s="2" t="s">
        <v>114</v>
      </c>
      <c r="H905" s="2" t="s">
        <v>66</v>
      </c>
      <c r="I905" s="2" t="s">
        <v>73</v>
      </c>
      <c r="J905" s="2" t="s">
        <v>77</v>
      </c>
      <c r="K905" s="2" t="s">
        <v>117</v>
      </c>
      <c r="L905" s="2" t="s">
        <v>83</v>
      </c>
      <c r="M905" s="2" t="s">
        <v>36</v>
      </c>
      <c r="N905" s="2" t="s">
        <v>37</v>
      </c>
      <c r="O905" s="2" t="s">
        <v>58</v>
      </c>
      <c r="P905" s="2" t="s">
        <v>28</v>
      </c>
      <c r="Q905" s="2" t="s">
        <v>75</v>
      </c>
    </row>
    <row r="906" spans="1:17">
      <c r="A906" s="2" t="s">
        <v>1241</v>
      </c>
      <c r="B906" s="2" t="str">
        <f>[1]Sheet1!M906</f>
        <v>男</v>
      </c>
      <c r="C906" s="3" t="str" cm="1">
        <f t="array" ref="C9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06" s="2" t="str">
        <f>MID([1]Sheet1!F906,FIND("(",[1]Sheet1!F906)+1,FIND("-",[1]Sheet1!F906)-FIND("(",[1]Sheet1!F906)-1)</f>
        <v>四川</v>
      </c>
      <c r="E906" s="2" t="str">
        <f>MID([1]Sheet1!F906,FIND("-",[1]Sheet1!F906)+1,FIND(")",[1]Sheet1!F906)-FIND("-",[1]Sheet1!F906)-1)</f>
        <v>自贡</v>
      </c>
      <c r="F906" s="2" t="s">
        <v>31</v>
      </c>
      <c r="G906" s="2" t="s">
        <v>19</v>
      </c>
      <c r="H906" s="2" t="s">
        <v>20</v>
      </c>
      <c r="I906" s="2" t="s">
        <v>34</v>
      </c>
      <c r="J906" s="2" t="s">
        <v>22</v>
      </c>
      <c r="K906" s="2" t="s">
        <v>117</v>
      </c>
      <c r="L906" s="2" t="s">
        <v>24</v>
      </c>
      <c r="M906" s="2" t="s">
        <v>36</v>
      </c>
      <c r="N906" s="2" t="s">
        <v>37</v>
      </c>
      <c r="O906" s="2" t="s">
        <v>106</v>
      </c>
      <c r="P906" s="2" t="s">
        <v>39</v>
      </c>
      <c r="Q906" s="2" t="s">
        <v>48</v>
      </c>
    </row>
    <row r="907" spans="1:17">
      <c r="A907" s="2" t="s">
        <v>1242</v>
      </c>
      <c r="B907" s="2" t="str">
        <f>[1]Sheet1!M907</f>
        <v>男</v>
      </c>
      <c r="C907" s="3" t="str" cm="1">
        <f t="array" ref="C9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07" s="2" t="str">
        <f>MID([1]Sheet1!F907,FIND("(",[1]Sheet1!F907)+1,FIND("-",[1]Sheet1!F907)-FIND("(",[1]Sheet1!F907)-1)</f>
        <v>广西</v>
      </c>
      <c r="E907" s="2" t="str">
        <f>MID([1]Sheet1!F907,FIND("-",[1]Sheet1!F907)+1,FIND(")",[1]Sheet1!F907)-FIND("-",[1]Sheet1!F907)-1)</f>
        <v>柳州</v>
      </c>
      <c r="F907" s="2" t="s">
        <v>18</v>
      </c>
      <c r="G907" s="2" t="s">
        <v>81</v>
      </c>
      <c r="H907" s="2" t="s">
        <v>66</v>
      </c>
      <c r="I907" s="2" t="s">
        <v>120</v>
      </c>
      <c r="J907" s="2" t="s">
        <v>56</v>
      </c>
      <c r="K907" s="2" t="s">
        <v>117</v>
      </c>
      <c r="L907" s="2" t="s">
        <v>24</v>
      </c>
      <c r="M907" s="2" t="s">
        <v>36</v>
      </c>
      <c r="N907" s="2" t="s">
        <v>37</v>
      </c>
      <c r="O907" s="2" t="s">
        <v>47</v>
      </c>
      <c r="P907" s="2" t="s">
        <v>28</v>
      </c>
      <c r="Q907" s="2" t="s">
        <v>400</v>
      </c>
    </row>
    <row r="908" spans="1:17">
      <c r="A908" s="2" t="s">
        <v>1243</v>
      </c>
      <c r="B908" s="2" t="str">
        <f>[1]Sheet1!M908</f>
        <v>男</v>
      </c>
      <c r="C908" s="3" t="str" cm="1">
        <f t="array" ref="C9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08" s="2" t="str">
        <f>MID([1]Sheet1!F908,FIND("(",[1]Sheet1!F908)+1,FIND("-",[1]Sheet1!F908)-FIND("(",[1]Sheet1!F908)-1)</f>
        <v>江苏</v>
      </c>
      <c r="E908" s="2" t="str">
        <f>MID([1]Sheet1!F908,FIND("-",[1]Sheet1!F908)+1,FIND(")",[1]Sheet1!F908)-FIND("-",[1]Sheet1!F908)-1)</f>
        <v>徐州</v>
      </c>
      <c r="F908" s="2" t="s">
        <v>31</v>
      </c>
      <c r="G908" s="2" t="s">
        <v>50</v>
      </c>
      <c r="H908" s="2" t="s">
        <v>66</v>
      </c>
      <c r="I908" s="2" t="s">
        <v>21</v>
      </c>
      <c r="J908" s="2" t="s">
        <v>96</v>
      </c>
      <c r="K908" s="2" t="s">
        <v>115</v>
      </c>
      <c r="L908" s="2" t="s">
        <v>24</v>
      </c>
      <c r="M908" s="2" t="s">
        <v>143</v>
      </c>
      <c r="N908" s="2" t="s">
        <v>105</v>
      </c>
      <c r="O908" s="2" t="s">
        <v>89</v>
      </c>
      <c r="P908" s="2" t="s">
        <v>86</v>
      </c>
      <c r="Q908" s="2" t="s">
        <v>645</v>
      </c>
    </row>
    <row r="909" spans="1:17">
      <c r="A909" s="2" t="s">
        <v>1244</v>
      </c>
      <c r="B909" s="2" t="str">
        <f>[1]Sheet1!M909</f>
        <v>男</v>
      </c>
      <c r="C909" s="3" t="str" cm="1">
        <f t="array" ref="C9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09" s="2" t="str">
        <f>MID([1]Sheet1!F909,FIND("(",[1]Sheet1!F909)+1,FIND("-",[1]Sheet1!F909)-FIND("(",[1]Sheet1!F909)-1)</f>
        <v>江苏</v>
      </c>
      <c r="E909" s="2" t="str">
        <f>MID([1]Sheet1!F909,FIND("-",[1]Sheet1!F909)+1,FIND(")",[1]Sheet1!F909)-FIND("-",[1]Sheet1!F909)-1)</f>
        <v>镇江</v>
      </c>
      <c r="F909" s="2" t="s">
        <v>18</v>
      </c>
      <c r="G909" s="2" t="s">
        <v>50</v>
      </c>
      <c r="H909" s="2" t="s">
        <v>33</v>
      </c>
      <c r="I909" s="2" t="s">
        <v>21</v>
      </c>
      <c r="J909" s="2" t="s">
        <v>77</v>
      </c>
      <c r="K909" s="2" t="s">
        <v>117</v>
      </c>
      <c r="L909" s="2" t="s">
        <v>24</v>
      </c>
      <c r="M909" s="2" t="s">
        <v>57</v>
      </c>
      <c r="N909" s="2" t="s">
        <v>26</v>
      </c>
      <c r="O909" s="2" t="s">
        <v>62</v>
      </c>
      <c r="P909" s="2" t="s">
        <v>179</v>
      </c>
      <c r="Q909" s="2" t="s">
        <v>172</v>
      </c>
    </row>
    <row r="910" spans="1:17">
      <c r="A910" s="2" t="s">
        <v>1245</v>
      </c>
      <c r="B910" s="2" t="str">
        <f>[1]Sheet1!M910</f>
        <v>女</v>
      </c>
      <c r="C910" s="3" t="str" cm="1">
        <f t="array" ref="C9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10" s="2" t="str">
        <f>MID([1]Sheet1!F910,FIND("(",[1]Sheet1!F910)+1,FIND("-",[1]Sheet1!F910)-FIND("(",[1]Sheet1!F910)-1)</f>
        <v>江苏</v>
      </c>
      <c r="E910" s="2" t="str">
        <f>MID([1]Sheet1!F910,FIND("-",[1]Sheet1!F910)+1,FIND(")",[1]Sheet1!F910)-FIND("-",[1]Sheet1!F910)-1)</f>
        <v>徐州</v>
      </c>
      <c r="F910" s="2" t="s">
        <v>70</v>
      </c>
      <c r="G910" s="2" t="s">
        <v>50</v>
      </c>
      <c r="H910" s="2" t="s">
        <v>20</v>
      </c>
      <c r="I910" s="2" t="s">
        <v>21</v>
      </c>
      <c r="J910" s="2" t="s">
        <v>82</v>
      </c>
      <c r="K910" s="2" t="s">
        <v>412</v>
      </c>
      <c r="L910" s="2" t="s">
        <v>24</v>
      </c>
      <c r="M910" s="2" t="s">
        <v>36</v>
      </c>
      <c r="N910" s="2" t="s">
        <v>85</v>
      </c>
      <c r="O910" s="2" t="s">
        <v>27</v>
      </c>
      <c r="P910" s="2" t="s">
        <v>28</v>
      </c>
      <c r="Q910" s="2" t="s">
        <v>259</v>
      </c>
    </row>
    <row r="911" spans="1:17">
      <c r="A911" s="2" t="s">
        <v>1246</v>
      </c>
      <c r="B911" s="2" t="str">
        <f>[1]Sheet1!M911</f>
        <v>男</v>
      </c>
      <c r="C911" s="3" t="str" cm="1">
        <f t="array" ref="C9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11" s="2" t="str">
        <f>MID([1]Sheet1!F911,FIND("(",[1]Sheet1!F911)+1,FIND("-",[1]Sheet1!F911)-FIND("(",[1]Sheet1!F911)-1)</f>
        <v>山东</v>
      </c>
      <c r="E911" s="2" t="str">
        <f>MID([1]Sheet1!F911,FIND("-",[1]Sheet1!F911)+1,FIND(")",[1]Sheet1!F911)-FIND("-",[1]Sheet1!F911)-1)</f>
        <v>潍坊</v>
      </c>
      <c r="F911" s="2" t="s">
        <v>42</v>
      </c>
      <c r="G911" s="2" t="s">
        <v>81</v>
      </c>
      <c r="H911" s="2" t="s">
        <v>33</v>
      </c>
      <c r="I911" s="2" t="s">
        <v>21</v>
      </c>
      <c r="J911" s="2" t="s">
        <v>82</v>
      </c>
      <c r="K911" s="2" t="s">
        <v>117</v>
      </c>
      <c r="L911" s="2" t="s">
        <v>24</v>
      </c>
      <c r="M911" s="2" t="s">
        <v>143</v>
      </c>
      <c r="N911" s="2" t="s">
        <v>37</v>
      </c>
      <c r="O911" s="2" t="s">
        <v>47</v>
      </c>
      <c r="P911" s="2" t="s">
        <v>179</v>
      </c>
      <c r="Q911" s="2" t="s">
        <v>133</v>
      </c>
    </row>
    <row r="912" spans="1:17">
      <c r="A912" s="2" t="s">
        <v>1247</v>
      </c>
      <c r="B912" s="2" t="str">
        <f>[1]Sheet1!M912</f>
        <v>男</v>
      </c>
      <c r="C912" s="3" t="str" cm="1">
        <f t="array" ref="C9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12" s="2" t="str">
        <f>MID([1]Sheet1!F912,FIND("(",[1]Sheet1!F912)+1,FIND("-",[1]Sheet1!F912)-FIND("(",[1]Sheet1!F912)-1)</f>
        <v>山东</v>
      </c>
      <c r="E912" s="2" t="str">
        <f>MID([1]Sheet1!F912,FIND("-",[1]Sheet1!F912)+1,FIND(")",[1]Sheet1!F912)-FIND("-",[1]Sheet1!F912)-1)</f>
        <v>临沂</v>
      </c>
      <c r="F912" s="2" t="s">
        <v>70</v>
      </c>
      <c r="G912" s="2" t="s">
        <v>32</v>
      </c>
      <c r="H912" s="2" t="s">
        <v>20</v>
      </c>
      <c r="I912" s="2" t="s">
        <v>51</v>
      </c>
      <c r="J912" s="2" t="s">
        <v>82</v>
      </c>
      <c r="K912" s="2" t="s">
        <v>240</v>
      </c>
      <c r="L912" s="2" t="s">
        <v>24</v>
      </c>
      <c r="M912" s="2" t="s">
        <v>36</v>
      </c>
      <c r="N912" s="2" t="s">
        <v>85</v>
      </c>
      <c r="O912" s="2" t="s">
        <v>47</v>
      </c>
      <c r="P912" s="2" t="s">
        <v>86</v>
      </c>
      <c r="Q912" s="2" t="s">
        <v>672</v>
      </c>
    </row>
    <row r="913" spans="1:17">
      <c r="A913" s="2" t="s">
        <v>1248</v>
      </c>
      <c r="B913" s="2" t="str">
        <f>[1]Sheet1!M913</f>
        <v>男</v>
      </c>
      <c r="C913" s="3" t="str" cm="1">
        <f t="array" ref="C9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13" s="2" t="str">
        <f>MID([1]Sheet1!F913,FIND("(",[1]Sheet1!F913)+1,FIND("-",[1]Sheet1!F913)-FIND("(",[1]Sheet1!F913)-1)</f>
        <v>广西</v>
      </c>
      <c r="E913" s="2" t="str">
        <f>MID([1]Sheet1!F913,FIND("-",[1]Sheet1!F913)+1,FIND(")",[1]Sheet1!F913)-FIND("-",[1]Sheet1!F913)-1)</f>
        <v>南宁</v>
      </c>
      <c r="F913" s="2" t="s">
        <v>88</v>
      </c>
      <c r="G913" s="2" t="s">
        <v>32</v>
      </c>
      <c r="H913" s="2" t="s">
        <v>66</v>
      </c>
      <c r="I913" s="2" t="s">
        <v>43</v>
      </c>
      <c r="J913" s="2" t="s">
        <v>56</v>
      </c>
      <c r="K913" s="2" t="s">
        <v>130</v>
      </c>
      <c r="L913" s="2" t="s">
        <v>24</v>
      </c>
      <c r="M913" s="2" t="s">
        <v>25</v>
      </c>
      <c r="N913" s="2" t="s">
        <v>85</v>
      </c>
      <c r="O913" s="2" t="s">
        <v>58</v>
      </c>
      <c r="P913" s="2" t="s">
        <v>179</v>
      </c>
      <c r="Q913" s="2" t="s">
        <v>310</v>
      </c>
    </row>
    <row r="914" spans="1:17">
      <c r="A914" s="2" t="s">
        <v>1249</v>
      </c>
      <c r="B914" s="2" t="str">
        <f>[1]Sheet1!M914</f>
        <v>男</v>
      </c>
      <c r="C914" s="3" t="str" cm="1">
        <f t="array" ref="C9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14" s="2" t="str">
        <f>MID([1]Sheet1!F914,FIND("(",[1]Sheet1!F914)+1,FIND("-",[1]Sheet1!F914)-FIND("(",[1]Sheet1!F914)-1)</f>
        <v>广东</v>
      </c>
      <c r="E914" s="2" t="str">
        <f>MID([1]Sheet1!F914,FIND("-",[1]Sheet1!F914)+1,FIND(")",[1]Sheet1!F914)-FIND("-",[1]Sheet1!F914)-1)</f>
        <v>佛山</v>
      </c>
      <c r="F914" s="2" t="s">
        <v>31</v>
      </c>
      <c r="G914" s="2" t="s">
        <v>19</v>
      </c>
      <c r="H914" s="2" t="s">
        <v>33</v>
      </c>
      <c r="I914" s="2" t="s">
        <v>51</v>
      </c>
      <c r="J914" s="2" t="s">
        <v>82</v>
      </c>
      <c r="K914" s="2" t="s">
        <v>121</v>
      </c>
      <c r="L914" s="2" t="s">
        <v>24</v>
      </c>
      <c r="M914" s="2" t="s">
        <v>36</v>
      </c>
      <c r="N914" s="2" t="s">
        <v>26</v>
      </c>
      <c r="O914" s="2" t="s">
        <v>47</v>
      </c>
      <c r="P914" s="2" t="s">
        <v>39</v>
      </c>
      <c r="Q914" s="2" t="s">
        <v>269</v>
      </c>
    </row>
    <row r="915" spans="1:17">
      <c r="A915" s="2" t="s">
        <v>1250</v>
      </c>
      <c r="B915" s="2" t="str">
        <f>[1]Sheet1!M915</f>
        <v>女</v>
      </c>
      <c r="C915" s="3" t="str" cm="1">
        <f t="array" ref="C9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15" s="2" t="str">
        <f>MID([1]Sheet1!F915,FIND("(",[1]Sheet1!F915)+1,FIND("-",[1]Sheet1!F915)-FIND("(",[1]Sheet1!F915)-1)</f>
        <v>广西</v>
      </c>
      <c r="E915" s="2" t="str">
        <f>MID([1]Sheet1!F915,FIND("-",[1]Sheet1!F915)+1,FIND(")",[1]Sheet1!F915)-FIND("-",[1]Sheet1!F915)-1)</f>
        <v>柳州</v>
      </c>
      <c r="F915" s="2" t="s">
        <v>31</v>
      </c>
      <c r="G915" s="2" t="s">
        <v>19</v>
      </c>
      <c r="H915" s="2" t="s">
        <v>66</v>
      </c>
      <c r="I915" s="2" t="s">
        <v>21</v>
      </c>
      <c r="J915" s="2" t="s">
        <v>96</v>
      </c>
      <c r="K915" s="2" t="s">
        <v>121</v>
      </c>
      <c r="L915" s="2" t="s">
        <v>24</v>
      </c>
      <c r="M915" s="2" t="s">
        <v>36</v>
      </c>
      <c r="N915" s="2" t="s">
        <v>85</v>
      </c>
      <c r="O915" s="2" t="s">
        <v>122</v>
      </c>
      <c r="P915" s="2" t="s">
        <v>86</v>
      </c>
      <c r="Q915" s="2" t="s">
        <v>367</v>
      </c>
    </row>
    <row r="916" spans="1:17">
      <c r="A916" s="2" t="s">
        <v>1251</v>
      </c>
      <c r="B916" s="2" t="str">
        <f>[1]Sheet1!M916</f>
        <v>男</v>
      </c>
      <c r="C916" s="3" t="str" cm="1">
        <f t="array" ref="C9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16" s="2" t="str">
        <f>MID([1]Sheet1!F916,FIND("(",[1]Sheet1!F916)+1,FIND("-",[1]Sheet1!F916)-FIND("(",[1]Sheet1!F916)-1)</f>
        <v>安徽</v>
      </c>
      <c r="E916" s="2" t="str">
        <f>MID([1]Sheet1!F916,FIND("-",[1]Sheet1!F916)+1,FIND(")",[1]Sheet1!F916)-FIND("-",[1]Sheet1!F916)-1)</f>
        <v>合肥</v>
      </c>
      <c r="F916" s="2" t="s">
        <v>88</v>
      </c>
      <c r="G916" s="2" t="s">
        <v>32</v>
      </c>
      <c r="H916" s="2" t="s">
        <v>66</v>
      </c>
      <c r="I916" s="2" t="s">
        <v>43</v>
      </c>
      <c r="J916" s="2" t="s">
        <v>35</v>
      </c>
      <c r="K916" s="2" t="s">
        <v>117</v>
      </c>
      <c r="L916" s="2" t="s">
        <v>24</v>
      </c>
      <c r="M916" s="2" t="s">
        <v>36</v>
      </c>
      <c r="N916" s="2" t="s">
        <v>37</v>
      </c>
      <c r="O916" s="2" t="s">
        <v>47</v>
      </c>
      <c r="P916" s="2" t="s">
        <v>28</v>
      </c>
      <c r="Q916" s="2" t="s">
        <v>103</v>
      </c>
    </row>
    <row r="917" spans="1:17">
      <c r="A917" s="2" t="s">
        <v>1252</v>
      </c>
      <c r="B917" s="2" t="str">
        <f>[1]Sheet1!M917</f>
        <v>男</v>
      </c>
      <c r="C917" s="3" t="str" cm="1">
        <f t="array" ref="C9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17" s="2" t="str">
        <f>MID([1]Sheet1!F917,FIND("(",[1]Sheet1!F917)+1,FIND("-",[1]Sheet1!F917)-FIND("(",[1]Sheet1!F917)-1)</f>
        <v>湖南</v>
      </c>
      <c r="E917" s="2" t="str">
        <f>MID([1]Sheet1!F917,FIND("-",[1]Sheet1!F917)+1,FIND(")",[1]Sheet1!F917)-FIND("-",[1]Sheet1!F917)-1)</f>
        <v>娄底</v>
      </c>
      <c r="F917" s="2" t="s">
        <v>31</v>
      </c>
      <c r="G917" s="2" t="s">
        <v>32</v>
      </c>
      <c r="H917" s="2" t="s">
        <v>66</v>
      </c>
      <c r="I917" s="2" t="s">
        <v>43</v>
      </c>
      <c r="J917" s="2" t="s">
        <v>96</v>
      </c>
      <c r="K917" s="2" t="s">
        <v>117</v>
      </c>
      <c r="L917" s="2" t="s">
        <v>24</v>
      </c>
      <c r="M917" s="2" t="s">
        <v>25</v>
      </c>
      <c r="N917" s="2" t="s">
        <v>37</v>
      </c>
      <c r="O917" s="2" t="s">
        <v>295</v>
      </c>
      <c r="P917" s="2" t="s">
        <v>512</v>
      </c>
      <c r="Q917" s="2" t="s">
        <v>819</v>
      </c>
    </row>
    <row r="918" spans="1:17">
      <c r="A918" s="2" t="s">
        <v>1253</v>
      </c>
      <c r="B918" s="2" t="str">
        <f>[1]Sheet1!M918</f>
        <v>男</v>
      </c>
      <c r="C918" s="3" t="str" cm="1">
        <f t="array" ref="C9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18" s="2" t="str">
        <f>MID([1]Sheet1!F918,FIND("(",[1]Sheet1!F918)+1,FIND("-",[1]Sheet1!F918)-FIND("(",[1]Sheet1!F918)-1)</f>
        <v>河北</v>
      </c>
      <c r="E918" s="2" t="str">
        <f>MID([1]Sheet1!F918,FIND("-",[1]Sheet1!F918)+1,FIND(")",[1]Sheet1!F918)-FIND("-",[1]Sheet1!F918)-1)</f>
        <v>石家庄</v>
      </c>
      <c r="F918" s="2" t="s">
        <v>70</v>
      </c>
      <c r="G918" s="2" t="s">
        <v>162</v>
      </c>
      <c r="H918" s="2" t="s">
        <v>66</v>
      </c>
      <c r="I918" s="2" t="s">
        <v>21</v>
      </c>
      <c r="J918" s="2" t="s">
        <v>96</v>
      </c>
      <c r="K918" s="2" t="s">
        <v>121</v>
      </c>
      <c r="L918" s="2" t="s">
        <v>83</v>
      </c>
      <c r="M918" s="2" t="s">
        <v>67</v>
      </c>
      <c r="N918" s="2" t="s">
        <v>37</v>
      </c>
      <c r="O918" s="2" t="s">
        <v>47</v>
      </c>
      <c r="P918" s="2" t="s">
        <v>179</v>
      </c>
      <c r="Q918" s="2" t="s">
        <v>29</v>
      </c>
    </row>
    <row r="919" spans="1:17">
      <c r="A919" s="2" t="s">
        <v>1254</v>
      </c>
      <c r="B919" s="2" t="str">
        <f>[1]Sheet1!M919</f>
        <v>男</v>
      </c>
      <c r="C919" s="3" t="str" cm="1">
        <f t="array" ref="C9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19" s="2" t="str">
        <f>MID([1]Sheet1!F919,FIND("(",[1]Sheet1!F919)+1,FIND("-",[1]Sheet1!F919)-FIND("(",[1]Sheet1!F919)-1)</f>
        <v>四川</v>
      </c>
      <c r="E919" s="2" t="str">
        <f>MID([1]Sheet1!F919,FIND("-",[1]Sheet1!F919)+1,FIND(")",[1]Sheet1!F919)-FIND("-",[1]Sheet1!F919)-1)</f>
        <v>南充</v>
      </c>
      <c r="F919" s="2" t="s">
        <v>42</v>
      </c>
      <c r="G919" s="2" t="s">
        <v>50</v>
      </c>
      <c r="H919" s="2" t="s">
        <v>33</v>
      </c>
      <c r="I919" s="2" t="s">
        <v>43</v>
      </c>
      <c r="J919" s="2" t="s">
        <v>44</v>
      </c>
      <c r="K919" s="2" t="s">
        <v>495</v>
      </c>
      <c r="L919" s="2" t="s">
        <v>24</v>
      </c>
      <c r="M919" s="2" t="s">
        <v>92</v>
      </c>
      <c r="N919" s="2" t="s">
        <v>37</v>
      </c>
      <c r="O919" s="2" t="s">
        <v>47</v>
      </c>
      <c r="P919" s="2" t="s">
        <v>218</v>
      </c>
      <c r="Q919" s="2" t="s">
        <v>75</v>
      </c>
    </row>
    <row r="920" spans="1:17">
      <c r="A920" s="2" t="s">
        <v>1255</v>
      </c>
      <c r="B920" s="2" t="str">
        <f>[1]Sheet1!M920</f>
        <v>男</v>
      </c>
      <c r="C920" s="3" t="str" cm="1">
        <f t="array" ref="C9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20" s="2" t="str">
        <f>MID([1]Sheet1!F920,FIND("(",[1]Sheet1!F920)+1,FIND("-",[1]Sheet1!F920)-FIND("(",[1]Sheet1!F920)-1)</f>
        <v>山东</v>
      </c>
      <c r="E920" s="2" t="str">
        <f>MID([1]Sheet1!F920,FIND("-",[1]Sheet1!F920)+1,FIND(")",[1]Sheet1!F920)-FIND("-",[1]Sheet1!F920)-1)</f>
        <v>临沂</v>
      </c>
      <c r="F920" s="2" t="s">
        <v>70</v>
      </c>
      <c r="G920" s="2" t="s">
        <v>19</v>
      </c>
      <c r="H920" s="2" t="s">
        <v>20</v>
      </c>
      <c r="I920" s="2" t="s">
        <v>73</v>
      </c>
      <c r="J920" s="2" t="s">
        <v>82</v>
      </c>
      <c r="K920" s="2" t="s">
        <v>130</v>
      </c>
      <c r="L920" s="2" t="s">
        <v>83</v>
      </c>
      <c r="M920" s="2" t="s">
        <v>143</v>
      </c>
      <c r="N920" s="2" t="s">
        <v>37</v>
      </c>
      <c r="O920" s="2" t="s">
        <v>27</v>
      </c>
      <c r="P920" s="2" t="s">
        <v>59</v>
      </c>
      <c r="Q920" s="2" t="s">
        <v>40</v>
      </c>
    </row>
    <row r="921" spans="1:17">
      <c r="A921" s="2" t="s">
        <v>1256</v>
      </c>
      <c r="B921" s="2" t="str">
        <f>[1]Sheet1!M921</f>
        <v>男</v>
      </c>
      <c r="C921" s="3" t="str" cm="1">
        <f t="array" ref="C9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21" s="2" t="str">
        <f>MID([1]Sheet1!F921,FIND("(",[1]Sheet1!F921)+1,FIND("-",[1]Sheet1!F921)-FIND("(",[1]Sheet1!F921)-1)</f>
        <v>云南</v>
      </c>
      <c r="E921" s="2" t="str">
        <f>MID([1]Sheet1!F921,FIND("-",[1]Sheet1!F921)+1,FIND(")",[1]Sheet1!F921)-FIND("-",[1]Sheet1!F921)-1)</f>
        <v>昆明</v>
      </c>
      <c r="F921" s="2" t="s">
        <v>18</v>
      </c>
      <c r="G921" s="2" t="s">
        <v>162</v>
      </c>
      <c r="H921" s="2" t="s">
        <v>66</v>
      </c>
      <c r="I921" s="2" t="s">
        <v>51</v>
      </c>
      <c r="J921" s="2" t="s">
        <v>96</v>
      </c>
      <c r="K921" s="2" t="s">
        <v>117</v>
      </c>
      <c r="L921" s="2" t="s">
        <v>83</v>
      </c>
      <c r="M921" s="2" t="s">
        <v>25</v>
      </c>
      <c r="N921" s="2" t="s">
        <v>37</v>
      </c>
      <c r="O921" s="2" t="s">
        <v>47</v>
      </c>
      <c r="P921" s="2" t="s">
        <v>86</v>
      </c>
      <c r="Q921" s="2" t="s">
        <v>133</v>
      </c>
    </row>
    <row r="922" spans="1:17">
      <c r="A922" s="2" t="s">
        <v>1257</v>
      </c>
      <c r="B922" s="2" t="str">
        <f>[1]Sheet1!M922</f>
        <v>男</v>
      </c>
      <c r="C922" s="3" t="str" cm="1">
        <f t="array" ref="C9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22" s="2" t="str">
        <f>MID([1]Sheet1!F922,FIND("(",[1]Sheet1!F922)+1,FIND("-",[1]Sheet1!F922)-FIND("(",[1]Sheet1!F922)-1)</f>
        <v>新疆</v>
      </c>
      <c r="E922" s="2" t="str">
        <f>MID([1]Sheet1!F922,FIND("-",[1]Sheet1!F922)+1,FIND(")",[1]Sheet1!F922)-FIND("-",[1]Sheet1!F922)-1)</f>
        <v>阿克苏</v>
      </c>
      <c r="F922" s="2" t="s">
        <v>88</v>
      </c>
      <c r="G922" s="2" t="s">
        <v>19</v>
      </c>
      <c r="H922" s="2" t="s">
        <v>33</v>
      </c>
      <c r="I922" s="2" t="s">
        <v>21</v>
      </c>
      <c r="J922" s="2" t="s">
        <v>77</v>
      </c>
      <c r="K922" s="2" t="s">
        <v>117</v>
      </c>
      <c r="L922" s="2" t="s">
        <v>24</v>
      </c>
      <c r="M922" s="2" t="s">
        <v>100</v>
      </c>
      <c r="N922" s="2" t="s">
        <v>85</v>
      </c>
      <c r="O922" s="2" t="s">
        <v>89</v>
      </c>
      <c r="P922" s="2" t="s">
        <v>63</v>
      </c>
      <c r="Q922" s="2" t="s">
        <v>356</v>
      </c>
    </row>
    <row r="923" spans="1:17">
      <c r="A923" s="2" t="s">
        <v>1258</v>
      </c>
      <c r="B923" s="2" t="str">
        <f>[1]Sheet1!M923</f>
        <v>男</v>
      </c>
      <c r="C923" s="3" t="str" cm="1">
        <f t="array" ref="C9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23" s="2" t="str">
        <f>MID([1]Sheet1!F923,FIND("(",[1]Sheet1!F923)+1,FIND("-",[1]Sheet1!F923)-FIND("(",[1]Sheet1!F923)-1)</f>
        <v>山东</v>
      </c>
      <c r="E923" s="2" t="str">
        <f>MID([1]Sheet1!F923,FIND("-",[1]Sheet1!F923)+1,FIND(")",[1]Sheet1!F923)-FIND("-",[1]Sheet1!F923)-1)</f>
        <v>青岛</v>
      </c>
      <c r="F923" s="2" t="s">
        <v>18</v>
      </c>
      <c r="G923" s="2" t="s">
        <v>32</v>
      </c>
      <c r="H923" s="2" t="s">
        <v>66</v>
      </c>
      <c r="I923" s="2" t="s">
        <v>51</v>
      </c>
      <c r="J923" s="2" t="s">
        <v>82</v>
      </c>
      <c r="K923" s="2" t="s">
        <v>169</v>
      </c>
      <c r="L923" s="2" t="s">
        <v>24</v>
      </c>
      <c r="M923" s="2" t="s">
        <v>36</v>
      </c>
      <c r="N923" s="2" t="s">
        <v>37</v>
      </c>
      <c r="O923" s="2" t="s">
        <v>89</v>
      </c>
      <c r="P923" s="2" t="s">
        <v>175</v>
      </c>
      <c r="Q923" s="2" t="s">
        <v>133</v>
      </c>
    </row>
    <row r="924" spans="1:17">
      <c r="A924" s="2" t="s">
        <v>1259</v>
      </c>
      <c r="B924" s="2" t="str">
        <f>[1]Sheet1!M924</f>
        <v>男</v>
      </c>
      <c r="C924" s="3" t="str" cm="1">
        <f t="array" ref="C9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24" s="2" t="str">
        <f>MID([1]Sheet1!F924,FIND("(",[1]Sheet1!F924)+1,FIND("-",[1]Sheet1!F924)-FIND("(",[1]Sheet1!F924)-1)</f>
        <v>湖南</v>
      </c>
      <c r="E924" s="2" t="str">
        <f>MID([1]Sheet1!F924,FIND("-",[1]Sheet1!F924)+1,FIND(")",[1]Sheet1!F924)-FIND("-",[1]Sheet1!F924)-1)</f>
        <v>长沙</v>
      </c>
      <c r="F924" s="2" t="s">
        <v>70</v>
      </c>
      <c r="G924" s="2" t="s">
        <v>19</v>
      </c>
      <c r="H924" s="2" t="s">
        <v>20</v>
      </c>
      <c r="I924" s="2" t="s">
        <v>21</v>
      </c>
      <c r="J924" s="2" t="s">
        <v>82</v>
      </c>
      <c r="K924" s="2" t="s">
        <v>115</v>
      </c>
      <c r="L924" s="2" t="s">
        <v>24</v>
      </c>
      <c r="M924" s="2" t="s">
        <v>67</v>
      </c>
      <c r="N924" s="2" t="s">
        <v>37</v>
      </c>
      <c r="O924" s="2" t="s">
        <v>366</v>
      </c>
      <c r="P924" s="2" t="s">
        <v>39</v>
      </c>
      <c r="Q924" s="2" t="s">
        <v>1260</v>
      </c>
    </row>
    <row r="925" spans="1:17">
      <c r="A925" s="2" t="s">
        <v>1261</v>
      </c>
      <c r="B925" s="2" t="str">
        <f>[1]Sheet1!M925</f>
        <v>男</v>
      </c>
      <c r="C925" s="3" t="str" cm="1">
        <f t="array" ref="C9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25" s="2" t="str">
        <f>MID([1]Sheet1!F925,FIND("(",[1]Sheet1!F925)+1,FIND("-",[1]Sheet1!F925)-FIND("(",[1]Sheet1!F925)-1)</f>
        <v>广东</v>
      </c>
      <c r="E925" s="2" t="str">
        <f>MID([1]Sheet1!F925,FIND("-",[1]Sheet1!F925)+1,FIND(")",[1]Sheet1!F925)-FIND("-",[1]Sheet1!F925)-1)</f>
        <v>东莞</v>
      </c>
      <c r="F925" s="2" t="s">
        <v>31</v>
      </c>
      <c r="G925" s="2" t="s">
        <v>50</v>
      </c>
      <c r="H925" s="2" t="s">
        <v>66</v>
      </c>
      <c r="I925" s="2" t="s">
        <v>120</v>
      </c>
      <c r="J925" s="2" t="s">
        <v>82</v>
      </c>
      <c r="K925" s="2" t="s">
        <v>240</v>
      </c>
      <c r="L925" s="2" t="s">
        <v>83</v>
      </c>
      <c r="M925" s="2" t="s">
        <v>143</v>
      </c>
      <c r="N925" s="2" t="s">
        <v>37</v>
      </c>
      <c r="O925" s="2" t="s">
        <v>106</v>
      </c>
      <c r="P925" s="2" t="s">
        <v>39</v>
      </c>
      <c r="Q925" s="2" t="s">
        <v>310</v>
      </c>
    </row>
    <row r="926" spans="1:17">
      <c r="A926" s="2" t="s">
        <v>1262</v>
      </c>
      <c r="B926" s="2" t="str">
        <f>[1]Sheet1!M926</f>
        <v>男</v>
      </c>
      <c r="C926" s="3" t="str" cm="1">
        <f t="array" ref="C9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26" s="2" t="str">
        <f>MID([1]Sheet1!F926,FIND("(",[1]Sheet1!F926)+1,FIND("-",[1]Sheet1!F926)-FIND("(",[1]Sheet1!F926)-1)</f>
        <v>山东</v>
      </c>
      <c r="E926" s="2" t="str">
        <f>MID([1]Sheet1!F926,FIND("-",[1]Sheet1!F926)+1,FIND(")",[1]Sheet1!F926)-FIND("-",[1]Sheet1!F926)-1)</f>
        <v>济南</v>
      </c>
      <c r="F926" s="2" t="s">
        <v>31</v>
      </c>
      <c r="G926" s="2" t="s">
        <v>50</v>
      </c>
      <c r="H926" s="2" t="s">
        <v>20</v>
      </c>
      <c r="I926" s="2" t="s">
        <v>73</v>
      </c>
      <c r="J926" s="2" t="s">
        <v>44</v>
      </c>
      <c r="K926" s="2" t="s">
        <v>121</v>
      </c>
      <c r="L926" s="2" t="s">
        <v>83</v>
      </c>
      <c r="M926" s="2" t="s">
        <v>36</v>
      </c>
      <c r="N926" s="2" t="s">
        <v>37</v>
      </c>
      <c r="O926" s="2" t="s">
        <v>47</v>
      </c>
      <c r="P926" s="2" t="s">
        <v>28</v>
      </c>
      <c r="Q926" s="2" t="s">
        <v>101</v>
      </c>
    </row>
    <row r="927" spans="1:17">
      <c r="A927" s="2" t="s">
        <v>1263</v>
      </c>
      <c r="B927" s="2" t="str">
        <f>[1]Sheet1!M927</f>
        <v>男</v>
      </c>
      <c r="C927" s="3" t="str" cm="1">
        <f t="array" ref="C9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27" s="2" t="str">
        <f>MID([1]Sheet1!F927,FIND("(",[1]Sheet1!F927)+1,FIND("-",[1]Sheet1!F927)-FIND("(",[1]Sheet1!F927)-1)</f>
        <v>浙江</v>
      </c>
      <c r="E927" s="2" t="str">
        <f>MID([1]Sheet1!F927,FIND("-",[1]Sheet1!F927)+1,FIND(")",[1]Sheet1!F927)-FIND("-",[1]Sheet1!F927)-1)</f>
        <v>杭州</v>
      </c>
      <c r="F927" s="2" t="s">
        <v>42</v>
      </c>
      <c r="G927" s="2" t="s">
        <v>81</v>
      </c>
      <c r="H927" s="2" t="s">
        <v>20</v>
      </c>
      <c r="I927" s="2" t="s">
        <v>34</v>
      </c>
      <c r="J927" s="2" t="s">
        <v>35</v>
      </c>
      <c r="K927" s="2" t="s">
        <v>169</v>
      </c>
      <c r="L927" s="2" t="s">
        <v>83</v>
      </c>
      <c r="M927" s="2" t="s">
        <v>57</v>
      </c>
      <c r="N927" s="2" t="s">
        <v>37</v>
      </c>
      <c r="O927" s="2" t="s">
        <v>58</v>
      </c>
      <c r="P927" s="2" t="s">
        <v>63</v>
      </c>
      <c r="Q927" s="2" t="s">
        <v>1264</v>
      </c>
    </row>
    <row r="928" spans="1:17">
      <c r="A928" s="2" t="s">
        <v>1265</v>
      </c>
      <c r="B928" s="2" t="str">
        <f>[1]Sheet1!M928</f>
        <v>男</v>
      </c>
      <c r="C928" s="3" t="str" cm="1">
        <f t="array" ref="C9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28" s="2" t="str">
        <f>MID([1]Sheet1!F928,FIND("(",[1]Sheet1!F928)+1,FIND("-",[1]Sheet1!F928)-FIND("(",[1]Sheet1!F928)-1)</f>
        <v>新疆</v>
      </c>
      <c r="E928" s="2" t="str">
        <f>MID([1]Sheet1!F928,FIND("-",[1]Sheet1!F928)+1,FIND(")",[1]Sheet1!F928)-FIND("-",[1]Sheet1!F928)-1)</f>
        <v>阿克苏</v>
      </c>
      <c r="F928" s="2" t="s">
        <v>18</v>
      </c>
      <c r="G928" s="2" t="s">
        <v>32</v>
      </c>
      <c r="H928" s="2" t="s">
        <v>20</v>
      </c>
      <c r="I928" s="2" t="s">
        <v>21</v>
      </c>
      <c r="J928" s="2" t="s">
        <v>77</v>
      </c>
      <c r="K928" s="2" t="s">
        <v>121</v>
      </c>
      <c r="L928" s="2" t="s">
        <v>24</v>
      </c>
      <c r="M928" s="2" t="s">
        <v>25</v>
      </c>
      <c r="N928" s="2" t="s">
        <v>26</v>
      </c>
      <c r="O928" s="2" t="s">
        <v>422</v>
      </c>
      <c r="P928" s="2" t="s">
        <v>86</v>
      </c>
      <c r="Q928" s="2" t="s">
        <v>275</v>
      </c>
    </row>
    <row r="929" spans="1:17">
      <c r="A929" s="2" t="s">
        <v>1266</v>
      </c>
      <c r="B929" s="2" t="str">
        <f>[1]Sheet1!M929</f>
        <v>女</v>
      </c>
      <c r="C929" s="3" t="str" cm="1">
        <f t="array" ref="C9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29" s="2" t="str">
        <f>MID([1]Sheet1!F929,FIND("(",[1]Sheet1!F929)+1,FIND("-",[1]Sheet1!F929)-FIND("(",[1]Sheet1!F929)-1)</f>
        <v>四川</v>
      </c>
      <c r="E929" s="2" t="str">
        <f>MID([1]Sheet1!F929,FIND("-",[1]Sheet1!F929)+1,FIND(")",[1]Sheet1!F929)-FIND("-",[1]Sheet1!F929)-1)</f>
        <v>眉山</v>
      </c>
      <c r="F929" s="2" t="s">
        <v>18</v>
      </c>
      <c r="G929" s="2" t="s">
        <v>32</v>
      </c>
      <c r="H929" s="2" t="s">
        <v>66</v>
      </c>
      <c r="I929" s="2" t="s">
        <v>34</v>
      </c>
      <c r="J929" s="2" t="s">
        <v>56</v>
      </c>
      <c r="K929" s="2" t="s">
        <v>130</v>
      </c>
      <c r="L929" s="2" t="s">
        <v>24</v>
      </c>
      <c r="M929" s="2" t="s">
        <v>78</v>
      </c>
      <c r="N929" s="2" t="s">
        <v>105</v>
      </c>
      <c r="O929" s="2" t="s">
        <v>47</v>
      </c>
      <c r="P929" s="2" t="s">
        <v>179</v>
      </c>
      <c r="Q929" s="2" t="s">
        <v>1108</v>
      </c>
    </row>
    <row r="930" spans="1:17">
      <c r="A930" s="2" t="s">
        <v>1267</v>
      </c>
      <c r="B930" s="2" t="str">
        <f>[1]Sheet1!M930</f>
        <v>男</v>
      </c>
      <c r="C930" s="3" t="str" cm="1">
        <f t="array" ref="C9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30" s="2" t="str">
        <f>MID([1]Sheet1!F930,FIND("(",[1]Sheet1!F930)+1,FIND("-",[1]Sheet1!F930)-FIND("(",[1]Sheet1!F930)-1)</f>
        <v>新疆</v>
      </c>
      <c r="E930" s="2" t="str">
        <f>MID([1]Sheet1!F930,FIND("-",[1]Sheet1!F930)+1,FIND(")",[1]Sheet1!F930)-FIND("-",[1]Sheet1!F930)-1)</f>
        <v>阿克苏</v>
      </c>
      <c r="F930" s="2" t="s">
        <v>31</v>
      </c>
      <c r="G930" s="2" t="s">
        <v>50</v>
      </c>
      <c r="H930" s="2" t="s">
        <v>66</v>
      </c>
      <c r="I930" s="2" t="s">
        <v>43</v>
      </c>
      <c r="J930" s="2" t="s">
        <v>56</v>
      </c>
      <c r="K930" s="2" t="s">
        <v>117</v>
      </c>
      <c r="L930" s="2" t="s">
        <v>83</v>
      </c>
      <c r="M930" s="2" t="s">
        <v>45</v>
      </c>
      <c r="N930" s="2" t="s">
        <v>105</v>
      </c>
      <c r="O930" s="2" t="s">
        <v>685</v>
      </c>
      <c r="P930" s="2" t="s">
        <v>63</v>
      </c>
      <c r="Q930" s="2" t="s">
        <v>48</v>
      </c>
    </row>
    <row r="931" spans="1:17">
      <c r="A931" s="2" t="s">
        <v>1268</v>
      </c>
      <c r="B931" s="2" t="str">
        <f>[1]Sheet1!M931</f>
        <v>女</v>
      </c>
      <c r="C931" s="3" t="str" cm="1">
        <f t="array" ref="C9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31" s="2" t="str">
        <f>MID([1]Sheet1!F931,FIND("(",[1]Sheet1!F931)+1,FIND("-",[1]Sheet1!F931)-FIND("(",[1]Sheet1!F931)-1)</f>
        <v>山东</v>
      </c>
      <c r="E931" s="2" t="str">
        <f>MID([1]Sheet1!F931,FIND("-",[1]Sheet1!F931)+1,FIND(")",[1]Sheet1!F931)-FIND("-",[1]Sheet1!F931)-1)</f>
        <v>滨州</v>
      </c>
      <c r="F931" s="2" t="s">
        <v>70</v>
      </c>
      <c r="G931" s="2" t="s">
        <v>32</v>
      </c>
      <c r="H931" s="2" t="s">
        <v>66</v>
      </c>
      <c r="I931" s="2" t="s">
        <v>43</v>
      </c>
      <c r="J931" s="2" t="s">
        <v>77</v>
      </c>
      <c r="K931" s="2" t="s">
        <v>115</v>
      </c>
      <c r="L931" s="2" t="s">
        <v>24</v>
      </c>
      <c r="M931" s="2" t="s">
        <v>92</v>
      </c>
      <c r="N931" s="2" t="s">
        <v>37</v>
      </c>
      <c r="O931" s="2" t="s">
        <v>58</v>
      </c>
      <c r="P931" s="2" t="s">
        <v>39</v>
      </c>
      <c r="Q931" s="2" t="s">
        <v>1234</v>
      </c>
    </row>
    <row r="932" spans="1:17">
      <c r="A932" s="2" t="s">
        <v>1269</v>
      </c>
      <c r="B932" s="2" t="str">
        <f>[1]Sheet1!M932</f>
        <v>男</v>
      </c>
      <c r="C932" s="3" t="str" cm="1">
        <f t="array" ref="C93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32" s="2" t="str">
        <f>MID([1]Sheet1!F932,FIND("(",[1]Sheet1!F932)+1,FIND("-",[1]Sheet1!F932)-FIND("(",[1]Sheet1!F932)-1)</f>
        <v>广西</v>
      </c>
      <c r="E932" s="2" t="str">
        <f>MID([1]Sheet1!F932,FIND("-",[1]Sheet1!F932)+1,FIND(")",[1]Sheet1!F932)-FIND("-",[1]Sheet1!F932)-1)</f>
        <v>防城港</v>
      </c>
      <c r="F932" s="2" t="s">
        <v>31</v>
      </c>
      <c r="G932" s="2" t="s">
        <v>81</v>
      </c>
      <c r="H932" s="2" t="s">
        <v>66</v>
      </c>
      <c r="I932" s="2" t="s">
        <v>43</v>
      </c>
      <c r="J932" s="2" t="s">
        <v>22</v>
      </c>
      <c r="K932" s="2" t="s">
        <v>117</v>
      </c>
      <c r="L932" s="2" t="s">
        <v>83</v>
      </c>
      <c r="M932" s="2" t="s">
        <v>92</v>
      </c>
      <c r="N932" s="2" t="s">
        <v>37</v>
      </c>
      <c r="O932" s="2" t="s">
        <v>97</v>
      </c>
      <c r="P932" s="2" t="s">
        <v>86</v>
      </c>
      <c r="Q932" s="2" t="s">
        <v>172</v>
      </c>
    </row>
    <row r="933" spans="1:17">
      <c r="A933" s="2" t="s">
        <v>1270</v>
      </c>
      <c r="B933" s="2" t="str">
        <f>[1]Sheet1!M933</f>
        <v>男</v>
      </c>
      <c r="C933" s="3" t="str" cm="1">
        <f t="array" ref="C93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33" s="2" t="str">
        <f>MID([1]Sheet1!F933,FIND("(",[1]Sheet1!F933)+1,FIND("-",[1]Sheet1!F933)-FIND("(",[1]Sheet1!F933)-1)</f>
        <v>广西</v>
      </c>
      <c r="E933" s="2" t="str">
        <f>MID([1]Sheet1!F933,FIND("-",[1]Sheet1!F933)+1,FIND(")",[1]Sheet1!F933)-FIND("-",[1]Sheet1!F933)-1)</f>
        <v>桂林</v>
      </c>
      <c r="F933" s="2" t="s">
        <v>42</v>
      </c>
      <c r="G933" s="2" t="s">
        <v>81</v>
      </c>
      <c r="H933" s="2" t="s">
        <v>66</v>
      </c>
      <c r="I933" s="2" t="s">
        <v>73</v>
      </c>
      <c r="J933" s="2" t="s">
        <v>56</v>
      </c>
      <c r="K933" s="2" t="s">
        <v>117</v>
      </c>
      <c r="L933" s="2" t="s">
        <v>24</v>
      </c>
      <c r="M933" s="2" t="s">
        <v>78</v>
      </c>
      <c r="N933" s="2" t="s">
        <v>37</v>
      </c>
      <c r="O933" s="2" t="s">
        <v>47</v>
      </c>
      <c r="P933" s="2" t="s">
        <v>39</v>
      </c>
      <c r="Q933" s="2" t="s">
        <v>133</v>
      </c>
    </row>
    <row r="934" spans="1:17">
      <c r="A934" s="2" t="s">
        <v>1271</v>
      </c>
      <c r="B934" s="2" t="str">
        <f>[1]Sheet1!M934</f>
        <v>男</v>
      </c>
      <c r="C934" s="3" t="str" cm="1">
        <f t="array" ref="C93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34" s="2" t="str">
        <f>MID([1]Sheet1!F934,FIND("(",[1]Sheet1!F934)+1,FIND("-",[1]Sheet1!F934)-FIND("(",[1]Sheet1!F934)-1)</f>
        <v>山东</v>
      </c>
      <c r="E934" s="2" t="str">
        <f>MID([1]Sheet1!F934,FIND("-",[1]Sheet1!F934)+1,FIND(")",[1]Sheet1!F934)-FIND("-",[1]Sheet1!F934)-1)</f>
        <v>聊城</v>
      </c>
      <c r="F934" s="2" t="s">
        <v>42</v>
      </c>
      <c r="G934" s="2" t="s">
        <v>50</v>
      </c>
      <c r="H934" s="2" t="s">
        <v>33</v>
      </c>
      <c r="I934" s="2" t="s">
        <v>34</v>
      </c>
      <c r="J934" s="2" t="s">
        <v>82</v>
      </c>
      <c r="K934" s="2" t="s">
        <v>1005</v>
      </c>
      <c r="L934" s="2" t="s">
        <v>24</v>
      </c>
      <c r="M934" s="2" t="s">
        <v>36</v>
      </c>
      <c r="N934" s="2" t="s">
        <v>37</v>
      </c>
      <c r="O934" s="2" t="s">
        <v>47</v>
      </c>
      <c r="P934" s="2" t="s">
        <v>175</v>
      </c>
      <c r="Q934" s="2" t="s">
        <v>310</v>
      </c>
    </row>
    <row r="935" spans="1:17">
      <c r="A935" s="2" t="s">
        <v>234</v>
      </c>
      <c r="B935" s="2" t="str">
        <f>[1]Sheet1!M935</f>
        <v>男</v>
      </c>
      <c r="C935" s="3" t="str" cm="1">
        <f t="array" ref="C93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35" s="2" t="str">
        <f>MID([1]Sheet1!F935,FIND("(",[1]Sheet1!F935)+1,FIND("-",[1]Sheet1!F935)-FIND("(",[1]Sheet1!F935)-1)</f>
        <v>河南</v>
      </c>
      <c r="E935" s="2" t="str">
        <f>MID([1]Sheet1!F935,FIND("-",[1]Sheet1!F935)+1,FIND(")",[1]Sheet1!F935)-FIND("-",[1]Sheet1!F935)-1)</f>
        <v>济源</v>
      </c>
      <c r="F935" s="2" t="s">
        <v>88</v>
      </c>
      <c r="G935" s="2" t="s">
        <v>81</v>
      </c>
      <c r="H935" s="2" t="s">
        <v>33</v>
      </c>
      <c r="I935" s="2" t="s">
        <v>21</v>
      </c>
      <c r="J935" s="2" t="s">
        <v>77</v>
      </c>
      <c r="K935" s="2" t="s">
        <v>121</v>
      </c>
      <c r="L935" s="2" t="s">
        <v>24</v>
      </c>
      <c r="M935" s="2" t="s">
        <v>36</v>
      </c>
      <c r="N935" s="2" t="s">
        <v>37</v>
      </c>
      <c r="O935" s="2" t="s">
        <v>450</v>
      </c>
      <c r="P935" s="2" t="s">
        <v>179</v>
      </c>
      <c r="Q935" s="2" t="s">
        <v>275</v>
      </c>
    </row>
    <row r="936" spans="1:17">
      <c r="A936" s="2" t="s">
        <v>1272</v>
      </c>
      <c r="B936" s="2" t="str">
        <f>[1]Sheet1!M936</f>
        <v>男</v>
      </c>
      <c r="C936" s="3" t="str" cm="1">
        <f t="array" ref="C93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36" s="2" t="str">
        <f>MID([1]Sheet1!F936,FIND("(",[1]Sheet1!F936)+1,FIND("-",[1]Sheet1!F936)-FIND("(",[1]Sheet1!F936)-1)</f>
        <v>江苏</v>
      </c>
      <c r="E936" s="2" t="str">
        <f>MID([1]Sheet1!F936,FIND("-",[1]Sheet1!F936)+1,FIND(")",[1]Sheet1!F936)-FIND("-",[1]Sheet1!F936)-1)</f>
        <v>南京</v>
      </c>
      <c r="F936" s="2" t="s">
        <v>31</v>
      </c>
      <c r="G936" s="2" t="s">
        <v>32</v>
      </c>
      <c r="H936" s="2" t="s">
        <v>66</v>
      </c>
      <c r="I936" s="2" t="s">
        <v>51</v>
      </c>
      <c r="J936" s="2" t="s">
        <v>82</v>
      </c>
      <c r="K936" s="2" t="s">
        <v>117</v>
      </c>
      <c r="L936" s="2" t="s">
        <v>24</v>
      </c>
      <c r="M936" s="2" t="s">
        <v>36</v>
      </c>
      <c r="N936" s="2" t="s">
        <v>37</v>
      </c>
      <c r="O936" s="2" t="s">
        <v>47</v>
      </c>
      <c r="P936" s="2" t="s">
        <v>86</v>
      </c>
      <c r="Q936" s="2" t="s">
        <v>356</v>
      </c>
    </row>
    <row r="937" spans="1:17">
      <c r="A937" s="2" t="s">
        <v>1273</v>
      </c>
      <c r="B937" s="2" t="str">
        <f>[1]Sheet1!M937</f>
        <v>男</v>
      </c>
      <c r="C937" s="3" t="str" cm="1">
        <f t="array" ref="C93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37" s="2" t="str">
        <f>MID([1]Sheet1!F937,FIND("(",[1]Sheet1!F937)+1,FIND("-",[1]Sheet1!F937)-FIND("(",[1]Sheet1!F937)-1)</f>
        <v>山东</v>
      </c>
      <c r="E937" s="2" t="str">
        <f>MID([1]Sheet1!F937,FIND("-",[1]Sheet1!F937)+1,FIND(")",[1]Sheet1!F937)-FIND("-",[1]Sheet1!F937)-1)</f>
        <v>济宁</v>
      </c>
      <c r="F937" s="2" t="s">
        <v>18</v>
      </c>
      <c r="G937" s="2" t="s">
        <v>50</v>
      </c>
      <c r="H937" s="2" t="s">
        <v>20</v>
      </c>
      <c r="I937" s="2" t="s">
        <v>51</v>
      </c>
      <c r="J937" s="2" t="s">
        <v>44</v>
      </c>
      <c r="K937" s="2" t="s">
        <v>121</v>
      </c>
      <c r="L937" s="2" t="s">
        <v>24</v>
      </c>
      <c r="M937" s="2" t="s">
        <v>36</v>
      </c>
      <c r="N937" s="2" t="s">
        <v>37</v>
      </c>
      <c r="O937" s="2" t="s">
        <v>204</v>
      </c>
      <c r="P937" s="2" t="s">
        <v>179</v>
      </c>
      <c r="Q937" s="2" t="s">
        <v>123</v>
      </c>
    </row>
    <row r="938" spans="1:17">
      <c r="A938" s="2" t="s">
        <v>1274</v>
      </c>
      <c r="B938" s="2" t="str">
        <f>[1]Sheet1!M938</f>
        <v>男</v>
      </c>
      <c r="C938" s="3" t="str" cm="1">
        <f t="array" ref="C93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38" s="2" t="str">
        <f>MID([1]Sheet1!F938,FIND("(",[1]Sheet1!F938)+1,FIND("-",[1]Sheet1!F938)-FIND("(",[1]Sheet1!F938)-1)</f>
        <v>安徽</v>
      </c>
      <c r="E938" s="2" t="str">
        <f>MID([1]Sheet1!F938,FIND("-",[1]Sheet1!F938)+1,FIND(")",[1]Sheet1!F938)-FIND("-",[1]Sheet1!F938)-1)</f>
        <v>合肥</v>
      </c>
      <c r="F938" s="2" t="s">
        <v>31</v>
      </c>
      <c r="G938" s="2" t="s">
        <v>50</v>
      </c>
      <c r="H938" s="2" t="s">
        <v>20</v>
      </c>
      <c r="I938" s="2" t="s">
        <v>73</v>
      </c>
      <c r="J938" s="2" t="s">
        <v>96</v>
      </c>
      <c r="K938" s="2" t="s">
        <v>117</v>
      </c>
      <c r="L938" s="2" t="s">
        <v>24</v>
      </c>
      <c r="M938" s="2" t="s">
        <v>36</v>
      </c>
      <c r="N938" s="2" t="s">
        <v>37</v>
      </c>
      <c r="O938" s="2" t="s">
        <v>47</v>
      </c>
      <c r="P938" s="2" t="s">
        <v>28</v>
      </c>
      <c r="Q938" s="2" t="s">
        <v>133</v>
      </c>
    </row>
    <row r="939" spans="1:17">
      <c r="A939" s="2" t="s">
        <v>1275</v>
      </c>
      <c r="B939" s="2" t="str">
        <f>[1]Sheet1!M939</f>
        <v>男</v>
      </c>
      <c r="C939" s="3" t="str" cm="1">
        <f t="array" ref="C93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939)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39" s="2" t="str">
        <f>MID([1]Sheet1!F939,FIND("(",[1]Sheet1!F939)+1,FIND("-",[1]Sheet1!F939)-FIND("(",[1]Sheet1!F939)-1)</f>
        <v>云南</v>
      </c>
      <c r="E939" s="2" t="str">
        <f>MID([1]Sheet1!F939,FIND("-",[1]Sheet1!F939)+1,FIND(")",[1]Sheet1!F939)-FIND("-",[1]Sheet1!F939)-1)</f>
        <v>保山</v>
      </c>
      <c r="F939" s="2" t="s">
        <v>159</v>
      </c>
      <c r="G939" s="2" t="s">
        <v>32</v>
      </c>
      <c r="H939" s="2" t="s">
        <v>66</v>
      </c>
      <c r="I939" s="2" t="s">
        <v>34</v>
      </c>
      <c r="J939" s="2" t="s">
        <v>44</v>
      </c>
      <c r="K939" s="2" t="s">
        <v>130</v>
      </c>
      <c r="L939" s="2" t="s">
        <v>83</v>
      </c>
      <c r="M939" s="2" t="s">
        <v>36</v>
      </c>
      <c r="N939" s="2" t="s">
        <v>37</v>
      </c>
      <c r="O939" s="2" t="s">
        <v>47</v>
      </c>
      <c r="P939" s="2" t="s">
        <v>63</v>
      </c>
      <c r="Q939" s="2" t="s">
        <v>400</v>
      </c>
    </row>
    <row r="940" spans="1:17">
      <c r="A940" s="2" t="s">
        <v>1276</v>
      </c>
      <c r="B940" s="2" t="str">
        <f>[1]Sheet1!M940</f>
        <v>男</v>
      </c>
      <c r="C940" s="3" t="str" cm="1">
        <f t="array" ref="C94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40" s="2" t="str">
        <f>MID([1]Sheet1!F940,FIND("(",[1]Sheet1!F940)+1,FIND("-",[1]Sheet1!F940)-FIND("(",[1]Sheet1!F940)-1)</f>
        <v>广东</v>
      </c>
      <c r="E940" s="2" t="str">
        <f>MID([1]Sheet1!F940,FIND("-",[1]Sheet1!F940)+1,FIND(")",[1]Sheet1!F940)-FIND("-",[1]Sheet1!F940)-1)</f>
        <v>东莞</v>
      </c>
      <c r="F940" s="2" t="s">
        <v>18</v>
      </c>
      <c r="G940" s="2" t="s">
        <v>114</v>
      </c>
      <c r="H940" s="2" t="s">
        <v>20</v>
      </c>
      <c r="I940" s="2" t="s">
        <v>51</v>
      </c>
      <c r="J940" s="2" t="s">
        <v>82</v>
      </c>
      <c r="K940" s="2" t="s">
        <v>117</v>
      </c>
      <c r="L940" s="2" t="s">
        <v>24</v>
      </c>
      <c r="M940" s="2" t="s">
        <v>681</v>
      </c>
      <c r="N940" s="2" t="s">
        <v>37</v>
      </c>
      <c r="O940" s="2" t="s">
        <v>685</v>
      </c>
      <c r="P940" s="2" t="s">
        <v>39</v>
      </c>
      <c r="Q940" s="2" t="s">
        <v>1277</v>
      </c>
    </row>
    <row r="941" spans="1:17">
      <c r="A941" s="2" t="s">
        <v>1278</v>
      </c>
      <c r="B941" s="2" t="str">
        <f>[1]Sheet1!M941</f>
        <v>男</v>
      </c>
      <c r="C941" s="3" t="str" cm="1">
        <f t="array" ref="C94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41" s="2" t="str">
        <f>MID([1]Sheet1!F941,FIND("(",[1]Sheet1!F941)+1,FIND("-",[1]Sheet1!F941)-FIND("(",[1]Sheet1!F941)-1)</f>
        <v>广东</v>
      </c>
      <c r="E941" s="2" t="str">
        <f>MID([1]Sheet1!F941,FIND("-",[1]Sheet1!F941)+1,FIND(")",[1]Sheet1!F941)-FIND("-",[1]Sheet1!F941)-1)</f>
        <v>广州</v>
      </c>
      <c r="F941" s="2" t="s">
        <v>31</v>
      </c>
      <c r="G941" s="2" t="s">
        <v>50</v>
      </c>
      <c r="H941" s="2" t="s">
        <v>66</v>
      </c>
      <c r="I941" s="2" t="s">
        <v>73</v>
      </c>
      <c r="J941" s="2" t="s">
        <v>44</v>
      </c>
      <c r="K941" s="2" t="s">
        <v>115</v>
      </c>
      <c r="L941" s="2" t="s">
        <v>24</v>
      </c>
      <c r="M941" s="2" t="s">
        <v>126</v>
      </c>
      <c r="N941" s="2" t="s">
        <v>37</v>
      </c>
      <c r="O941" s="2" t="s">
        <v>301</v>
      </c>
      <c r="P941" s="2" t="s">
        <v>39</v>
      </c>
      <c r="Q941" s="2" t="s">
        <v>103</v>
      </c>
    </row>
    <row r="942" spans="1:17">
      <c r="A942" s="2" t="s">
        <v>1279</v>
      </c>
      <c r="B942" s="2" t="str">
        <f>[1]Sheet1!M942</f>
        <v>男</v>
      </c>
      <c r="C942" s="3" t="str" cm="1">
        <f t="array" ref="C94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42" s="2" t="str">
        <f>MID([1]Sheet1!F942,FIND("(",[1]Sheet1!F942)+1,FIND("-",[1]Sheet1!F942)-FIND("(",[1]Sheet1!F942)-1)</f>
        <v>湖南</v>
      </c>
      <c r="E942" s="2" t="str">
        <f>MID([1]Sheet1!F942,FIND("-",[1]Sheet1!F942)+1,FIND(")",[1]Sheet1!F942)-FIND("-",[1]Sheet1!F942)-1)</f>
        <v>娄底</v>
      </c>
      <c r="F942" s="2" t="s">
        <v>159</v>
      </c>
      <c r="G942" s="2" t="s">
        <v>50</v>
      </c>
      <c r="H942" s="2" t="s">
        <v>20</v>
      </c>
      <c r="I942" s="2" t="s">
        <v>51</v>
      </c>
      <c r="J942" s="2" t="s">
        <v>96</v>
      </c>
      <c r="K942" s="2" t="s">
        <v>169</v>
      </c>
      <c r="L942" s="2" t="s">
        <v>24</v>
      </c>
      <c r="M942" s="2" t="s">
        <v>84</v>
      </c>
      <c r="N942" s="2" t="s">
        <v>37</v>
      </c>
      <c r="O942" s="2" t="s">
        <v>47</v>
      </c>
      <c r="P942" s="2" t="s">
        <v>86</v>
      </c>
      <c r="Q942" s="2" t="s">
        <v>144</v>
      </c>
    </row>
    <row r="943" spans="1:17">
      <c r="A943" s="2" t="s">
        <v>1280</v>
      </c>
      <c r="B943" s="2" t="str">
        <f>[1]Sheet1!M943</f>
        <v>男</v>
      </c>
      <c r="C943" s="3" t="str" cm="1">
        <f t="array" ref="C94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43" s="2" t="str">
        <f>MID([1]Sheet1!F943,FIND("(",[1]Sheet1!F943)+1,FIND("-",[1]Sheet1!F943)-FIND("(",[1]Sheet1!F943)-1)</f>
        <v>湖南</v>
      </c>
      <c r="E943" s="2" t="str">
        <f>MID([1]Sheet1!F943,FIND("-",[1]Sheet1!F943)+1,FIND(")",[1]Sheet1!F943)-FIND("-",[1]Sheet1!F943)-1)</f>
        <v>郴州</v>
      </c>
      <c r="F943" s="2" t="s">
        <v>42</v>
      </c>
      <c r="G943" s="2" t="s">
        <v>50</v>
      </c>
      <c r="H943" s="2" t="s">
        <v>20</v>
      </c>
      <c r="I943" s="2" t="s">
        <v>21</v>
      </c>
      <c r="J943" s="2" t="s">
        <v>82</v>
      </c>
      <c r="K943" s="2" t="s">
        <v>117</v>
      </c>
      <c r="L943" s="2" t="s">
        <v>24</v>
      </c>
      <c r="M943" s="2" t="s">
        <v>126</v>
      </c>
      <c r="N943" s="2" t="s">
        <v>85</v>
      </c>
      <c r="O943" s="2" t="s">
        <v>47</v>
      </c>
      <c r="P943" s="2" t="s">
        <v>63</v>
      </c>
      <c r="Q943" s="2" t="s">
        <v>1281</v>
      </c>
    </row>
    <row r="944" spans="1:17">
      <c r="A944" s="2" t="s">
        <v>1282</v>
      </c>
      <c r="B944" s="2" t="str">
        <f>[1]Sheet1!M944</f>
        <v>男</v>
      </c>
      <c r="C944" s="3" t="str" cm="1">
        <f t="array" ref="C94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44" s="2" t="str">
        <f>MID([1]Sheet1!F944,FIND("(",[1]Sheet1!F944)+1,FIND("-",[1]Sheet1!F944)-FIND("(",[1]Sheet1!F944)-1)</f>
        <v>河南</v>
      </c>
      <c r="E944" s="2" t="str">
        <f>MID([1]Sheet1!F944,FIND("-",[1]Sheet1!F944)+1,FIND(")",[1]Sheet1!F944)-FIND("-",[1]Sheet1!F944)-1)</f>
        <v>洛阳</v>
      </c>
      <c r="F944" s="2" t="s">
        <v>42</v>
      </c>
      <c r="G944" s="2" t="s">
        <v>50</v>
      </c>
      <c r="H944" s="2" t="s">
        <v>66</v>
      </c>
      <c r="I944" s="2" t="s">
        <v>51</v>
      </c>
      <c r="J944" s="2" t="s">
        <v>82</v>
      </c>
      <c r="K944" s="2" t="s">
        <v>121</v>
      </c>
      <c r="L944" s="2" t="s">
        <v>24</v>
      </c>
      <c r="M944" s="2" t="s">
        <v>36</v>
      </c>
      <c r="N944" s="2" t="s">
        <v>37</v>
      </c>
      <c r="O944" s="2" t="s">
        <v>202</v>
      </c>
      <c r="P944" s="2" t="s">
        <v>175</v>
      </c>
      <c r="Q944" s="2" t="s">
        <v>1283</v>
      </c>
    </row>
    <row r="945" spans="1:17">
      <c r="A945" s="2" t="s">
        <v>1282</v>
      </c>
      <c r="B945" s="2" t="str">
        <f>[1]Sheet1!M945</f>
        <v>男</v>
      </c>
      <c r="C945" s="3" t="str" cm="1">
        <f t="array" ref="C94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45" s="2" t="str">
        <f>MID([1]Sheet1!F945,FIND("(",[1]Sheet1!F945)+1,FIND("-",[1]Sheet1!F945)-FIND("(",[1]Sheet1!F945)-1)</f>
        <v>河南</v>
      </c>
      <c r="E945" s="2" t="str">
        <f>MID([1]Sheet1!F945,FIND("-",[1]Sheet1!F945)+1,FIND(")",[1]Sheet1!F945)-FIND("-",[1]Sheet1!F945)-1)</f>
        <v>洛阳</v>
      </c>
      <c r="F945" s="2" t="s">
        <v>42</v>
      </c>
      <c r="G945" s="2" t="s">
        <v>50</v>
      </c>
      <c r="H945" s="2" t="s">
        <v>66</v>
      </c>
      <c r="I945" s="2" t="s">
        <v>51</v>
      </c>
      <c r="J945" s="2" t="s">
        <v>82</v>
      </c>
      <c r="K945" s="2" t="s">
        <v>121</v>
      </c>
      <c r="L945" s="2" t="s">
        <v>24</v>
      </c>
      <c r="M945" s="2" t="s">
        <v>36</v>
      </c>
      <c r="N945" s="2" t="s">
        <v>37</v>
      </c>
      <c r="O945" s="2" t="s">
        <v>122</v>
      </c>
      <c r="P945" s="2" t="s">
        <v>175</v>
      </c>
      <c r="Q945" s="2" t="s">
        <v>356</v>
      </c>
    </row>
    <row r="946" spans="1:17">
      <c r="A946" s="2" t="s">
        <v>1284</v>
      </c>
      <c r="B946" s="2" t="str">
        <f>[1]Sheet1!M946</f>
        <v>男</v>
      </c>
      <c r="C946" s="3" t="str" cm="1">
        <f t="array" ref="C94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46" s="2" t="str">
        <f>MID([1]Sheet1!F946,FIND("(",[1]Sheet1!F946)+1,FIND("-",[1]Sheet1!F946)-FIND("(",[1]Sheet1!F946)-1)</f>
        <v>四川</v>
      </c>
      <c r="E946" s="2" t="str">
        <f>MID([1]Sheet1!F946,FIND("-",[1]Sheet1!F946)+1,FIND(")",[1]Sheet1!F946)-FIND("-",[1]Sheet1!F946)-1)</f>
        <v>巴中</v>
      </c>
      <c r="F946" s="2" t="s">
        <v>18</v>
      </c>
      <c r="G946" s="2" t="s">
        <v>50</v>
      </c>
      <c r="H946" s="2" t="s">
        <v>66</v>
      </c>
      <c r="I946" s="2" t="s">
        <v>51</v>
      </c>
      <c r="J946" s="2" t="s">
        <v>82</v>
      </c>
      <c r="K946" s="2" t="s">
        <v>117</v>
      </c>
      <c r="L946" s="2" t="s">
        <v>24</v>
      </c>
      <c r="M946" s="2" t="s">
        <v>36</v>
      </c>
      <c r="N946" s="2" t="s">
        <v>37</v>
      </c>
      <c r="O946" s="2" t="s">
        <v>47</v>
      </c>
      <c r="P946" s="2" t="s">
        <v>86</v>
      </c>
      <c r="Q946" s="2" t="s">
        <v>172</v>
      </c>
    </row>
    <row r="947" spans="1:17">
      <c r="A947" s="2" t="s">
        <v>1285</v>
      </c>
      <c r="B947" s="2" t="str">
        <f>[1]Sheet1!M947</f>
        <v>男</v>
      </c>
      <c r="C947" s="3" t="str" cm="1">
        <f t="array" ref="C94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47" s="2" t="str">
        <f>MID([1]Sheet1!F947,FIND("(",[1]Sheet1!F947)+1,FIND("-",[1]Sheet1!F947)-FIND("(",[1]Sheet1!F947)-1)</f>
        <v>广东</v>
      </c>
      <c r="E947" s="2" t="str">
        <f>MID([1]Sheet1!F947,FIND("-",[1]Sheet1!F947)+1,FIND(")",[1]Sheet1!F947)-FIND("-",[1]Sheet1!F947)-1)</f>
        <v>广州</v>
      </c>
      <c r="F947" s="2" t="s">
        <v>18</v>
      </c>
      <c r="G947" s="2" t="s">
        <v>32</v>
      </c>
      <c r="H947" s="2" t="s">
        <v>20</v>
      </c>
      <c r="I947" s="2" t="s">
        <v>43</v>
      </c>
      <c r="J947" s="2" t="s">
        <v>96</v>
      </c>
      <c r="K947" s="2" t="s">
        <v>117</v>
      </c>
      <c r="L947" s="2" t="s">
        <v>83</v>
      </c>
      <c r="M947" s="2" t="s">
        <v>36</v>
      </c>
      <c r="N947" s="2" t="s">
        <v>37</v>
      </c>
      <c r="O947" s="2" t="s">
        <v>47</v>
      </c>
      <c r="P947" s="2" t="s">
        <v>86</v>
      </c>
      <c r="Q947" s="2" t="s">
        <v>1286</v>
      </c>
    </row>
    <row r="948" spans="1:17">
      <c r="A948" s="2" t="s">
        <v>1287</v>
      </c>
      <c r="B948" s="2" t="str">
        <f>[1]Sheet1!M948</f>
        <v>男</v>
      </c>
      <c r="C948" s="3" t="str" cm="1">
        <f t="array" ref="C94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48" s="2" t="str">
        <f>MID([1]Sheet1!F948,FIND("(",[1]Sheet1!F948)+1,FIND("-",[1]Sheet1!F948)-FIND("(",[1]Sheet1!F948)-1)</f>
        <v>山东</v>
      </c>
      <c r="E948" s="2" t="str">
        <f>MID([1]Sheet1!F948,FIND("-",[1]Sheet1!F948)+1,FIND(")",[1]Sheet1!F948)-FIND("-",[1]Sheet1!F948)-1)</f>
        <v>济南</v>
      </c>
      <c r="F948" s="2" t="s">
        <v>42</v>
      </c>
      <c r="G948" s="2" t="s">
        <v>32</v>
      </c>
      <c r="H948" s="2" t="s">
        <v>20</v>
      </c>
      <c r="I948" s="2" t="s">
        <v>21</v>
      </c>
      <c r="J948" s="2" t="s">
        <v>44</v>
      </c>
      <c r="K948" s="2" t="s">
        <v>117</v>
      </c>
      <c r="L948" s="2" t="s">
        <v>83</v>
      </c>
      <c r="M948" s="2" t="s">
        <v>25</v>
      </c>
      <c r="N948" s="2" t="s">
        <v>37</v>
      </c>
      <c r="O948" s="2" t="s">
        <v>373</v>
      </c>
      <c r="P948" s="2" t="s">
        <v>179</v>
      </c>
      <c r="Q948" s="2" t="s">
        <v>183</v>
      </c>
    </row>
    <row r="949" spans="1:17">
      <c r="A949" s="2" t="s">
        <v>1288</v>
      </c>
      <c r="B949" s="2" t="str">
        <f>[1]Sheet1!M949</f>
        <v>男</v>
      </c>
      <c r="C949" s="3" t="str" cm="1">
        <f t="array" ref="C94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949)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49" s="2" t="str">
        <f>MID([1]Sheet1!F949,FIND("(",[1]Sheet1!F949)+1,FIND("-",[1]Sheet1!F949)-FIND("(",[1]Sheet1!F949)-1)</f>
        <v>湖南</v>
      </c>
      <c r="E949" s="2" t="str">
        <f>MID([1]Sheet1!F949,FIND("-",[1]Sheet1!F949)+1,FIND(")",[1]Sheet1!F949)-FIND("-",[1]Sheet1!F949)-1)</f>
        <v>怀化</v>
      </c>
      <c r="F949" s="2" t="s">
        <v>70</v>
      </c>
      <c r="G949" s="2" t="s">
        <v>32</v>
      </c>
      <c r="H949" s="2" t="s">
        <v>33</v>
      </c>
      <c r="I949" s="2" t="s">
        <v>120</v>
      </c>
      <c r="J949" s="2" t="s">
        <v>77</v>
      </c>
      <c r="K949" s="2" t="s">
        <v>117</v>
      </c>
      <c r="L949" s="2" t="s">
        <v>83</v>
      </c>
      <c r="M949" s="2" t="s">
        <v>71</v>
      </c>
      <c r="N949" s="2" t="s">
        <v>37</v>
      </c>
      <c r="O949" s="2" t="s">
        <v>47</v>
      </c>
      <c r="P949" s="2" t="s">
        <v>39</v>
      </c>
      <c r="Q949" s="2" t="s">
        <v>172</v>
      </c>
    </row>
    <row r="950" spans="1:17">
      <c r="A950" s="2" t="s">
        <v>1289</v>
      </c>
      <c r="B950" s="2" t="str">
        <f>[1]Sheet1!M950</f>
        <v>男</v>
      </c>
      <c r="C950" s="3" t="str" cm="1">
        <f t="array" ref="C95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50" s="2" t="str">
        <f>MID([1]Sheet1!F950,FIND("(",[1]Sheet1!F950)+1,FIND("-",[1]Sheet1!F950)-FIND("(",[1]Sheet1!F950)-1)</f>
        <v>新疆</v>
      </c>
      <c r="E950" s="2" t="str">
        <f>MID([1]Sheet1!F950,FIND("-",[1]Sheet1!F950)+1,FIND(")",[1]Sheet1!F950)-FIND("-",[1]Sheet1!F950)-1)</f>
        <v>乌鲁木齐</v>
      </c>
      <c r="F950" s="2" t="s">
        <v>42</v>
      </c>
      <c r="G950" s="2" t="s">
        <v>32</v>
      </c>
      <c r="H950" s="2" t="s">
        <v>66</v>
      </c>
      <c r="I950" s="2" t="s">
        <v>34</v>
      </c>
      <c r="J950" s="2" t="s">
        <v>82</v>
      </c>
      <c r="K950" s="2" t="s">
        <v>121</v>
      </c>
      <c r="L950" s="2" t="s">
        <v>24</v>
      </c>
      <c r="M950" s="2" t="s">
        <v>78</v>
      </c>
      <c r="N950" s="2" t="s">
        <v>37</v>
      </c>
      <c r="O950" s="2" t="s">
        <v>545</v>
      </c>
      <c r="P950" s="2" t="s">
        <v>28</v>
      </c>
      <c r="Q950" s="2" t="s">
        <v>1290</v>
      </c>
    </row>
    <row r="951" spans="1:17">
      <c r="A951" s="2" t="s">
        <v>1291</v>
      </c>
      <c r="B951" s="2" t="str">
        <f>[1]Sheet1!M951</f>
        <v>男</v>
      </c>
      <c r="C951" s="3" t="str" cm="1">
        <f t="array" ref="C95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51" s="2" t="str">
        <f>MID([1]Sheet1!F951,FIND("(",[1]Sheet1!F951)+1,FIND("-",[1]Sheet1!F951)-FIND("(",[1]Sheet1!F951)-1)</f>
        <v>陕西</v>
      </c>
      <c r="E951" s="2" t="str">
        <f>MID([1]Sheet1!F951,FIND("-",[1]Sheet1!F951)+1,FIND(")",[1]Sheet1!F951)-FIND("-",[1]Sheet1!F951)-1)</f>
        <v>西安</v>
      </c>
      <c r="F951" s="2" t="s">
        <v>88</v>
      </c>
      <c r="G951" s="2" t="s">
        <v>19</v>
      </c>
      <c r="H951" s="2" t="s">
        <v>20</v>
      </c>
      <c r="I951" s="2" t="s">
        <v>43</v>
      </c>
      <c r="J951" s="2" t="s">
        <v>56</v>
      </c>
      <c r="K951" s="2" t="s">
        <v>540</v>
      </c>
      <c r="L951" s="2" t="s">
        <v>24</v>
      </c>
      <c r="M951" s="2" t="s">
        <v>111</v>
      </c>
      <c r="N951" s="2" t="s">
        <v>26</v>
      </c>
      <c r="O951" s="2" t="s">
        <v>305</v>
      </c>
      <c r="P951" s="2" t="s">
        <v>218</v>
      </c>
      <c r="Q951" s="2" t="s">
        <v>160</v>
      </c>
    </row>
    <row r="952" spans="1:17">
      <c r="A952" s="2" t="s">
        <v>1291</v>
      </c>
      <c r="B952" s="2" t="str">
        <f>[1]Sheet1!M952</f>
        <v>男</v>
      </c>
      <c r="C952" s="3" t="str" cm="1">
        <f t="array" ref="C95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52" s="2" t="str">
        <f>MID([1]Sheet1!F952,FIND("(",[1]Sheet1!F952)+1,FIND("-",[1]Sheet1!F952)-FIND("(",[1]Sheet1!F952)-1)</f>
        <v>陕西</v>
      </c>
      <c r="E952" s="2" t="str">
        <f>MID([1]Sheet1!F952,FIND("-",[1]Sheet1!F952)+1,FIND(")",[1]Sheet1!F952)-FIND("-",[1]Sheet1!F952)-1)</f>
        <v>西安</v>
      </c>
      <c r="F952" s="2" t="s">
        <v>88</v>
      </c>
      <c r="G952" s="2" t="s">
        <v>19</v>
      </c>
      <c r="H952" s="2" t="s">
        <v>20</v>
      </c>
      <c r="I952" s="2" t="s">
        <v>43</v>
      </c>
      <c r="J952" s="2" t="s">
        <v>56</v>
      </c>
      <c r="K952" s="2" t="s">
        <v>121</v>
      </c>
      <c r="L952" s="2" t="s">
        <v>24</v>
      </c>
      <c r="M952" s="2" t="s">
        <v>111</v>
      </c>
      <c r="N952" s="2" t="s">
        <v>26</v>
      </c>
      <c r="O952" s="2" t="s">
        <v>450</v>
      </c>
      <c r="P952" s="2" t="s">
        <v>218</v>
      </c>
      <c r="Q952" s="2" t="s">
        <v>160</v>
      </c>
    </row>
    <row r="953" spans="1:17">
      <c r="A953" s="2" t="s">
        <v>282</v>
      </c>
      <c r="B953" s="2" t="str">
        <f>[1]Sheet1!M953</f>
        <v>男</v>
      </c>
      <c r="C953" s="3" t="str" cm="1">
        <f t="array" ref="C95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53" s="2" t="str">
        <f>MID([1]Sheet1!F953,FIND("(",[1]Sheet1!F953)+1,FIND("-",[1]Sheet1!F953)-FIND("(",[1]Sheet1!F953)-1)</f>
        <v>江苏</v>
      </c>
      <c r="E953" s="2" t="str">
        <f>MID([1]Sheet1!F953,FIND("-",[1]Sheet1!F953)+1,FIND(")",[1]Sheet1!F953)-FIND("-",[1]Sheet1!F953)-1)</f>
        <v>徐州</v>
      </c>
      <c r="F953" s="2" t="s">
        <v>70</v>
      </c>
      <c r="G953" s="2" t="s">
        <v>114</v>
      </c>
      <c r="H953" s="2" t="s">
        <v>66</v>
      </c>
      <c r="I953" s="2" t="s">
        <v>21</v>
      </c>
      <c r="J953" s="2" t="s">
        <v>22</v>
      </c>
      <c r="K953" s="2" t="s">
        <v>121</v>
      </c>
      <c r="L953" s="2" t="s">
        <v>24</v>
      </c>
      <c r="M953" s="2" t="s">
        <v>25</v>
      </c>
      <c r="N953" s="2" t="s">
        <v>37</v>
      </c>
      <c r="O953" s="2" t="s">
        <v>58</v>
      </c>
      <c r="P953" s="2" t="s">
        <v>39</v>
      </c>
      <c r="Q953" s="2" t="s">
        <v>214</v>
      </c>
    </row>
    <row r="954" spans="1:17">
      <c r="A954" s="2" t="s">
        <v>1292</v>
      </c>
      <c r="B954" s="2" t="str">
        <f>[1]Sheet1!M954</f>
        <v>男</v>
      </c>
      <c r="C954" s="3" t="str" cm="1">
        <f t="array" ref="C95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54" s="2" t="str">
        <f>MID([1]Sheet1!F954,FIND("(",[1]Sheet1!F954)+1,FIND("-",[1]Sheet1!F954)-FIND("(",[1]Sheet1!F954)-1)</f>
        <v>浙江</v>
      </c>
      <c r="E954" s="2" t="str">
        <f>MID([1]Sheet1!F954,FIND("-",[1]Sheet1!F954)+1,FIND(")",[1]Sheet1!F954)-FIND("-",[1]Sheet1!F954)-1)</f>
        <v>温州</v>
      </c>
      <c r="F954" s="2" t="s">
        <v>42</v>
      </c>
      <c r="G954" s="2" t="s">
        <v>50</v>
      </c>
      <c r="H954" s="2" t="s">
        <v>66</v>
      </c>
      <c r="I954" s="2" t="s">
        <v>211</v>
      </c>
      <c r="J954" s="2" t="s">
        <v>96</v>
      </c>
      <c r="K954" s="2" t="s">
        <v>121</v>
      </c>
      <c r="L954" s="2" t="s">
        <v>24</v>
      </c>
      <c r="M954" s="2" t="s">
        <v>143</v>
      </c>
      <c r="N954" s="2" t="s">
        <v>26</v>
      </c>
      <c r="O954" s="2" t="s">
        <v>202</v>
      </c>
      <c r="P954" s="2" t="s">
        <v>39</v>
      </c>
      <c r="Q954" s="2" t="s">
        <v>321</v>
      </c>
    </row>
    <row r="955" spans="1:17">
      <c r="A955" s="2" t="s">
        <v>282</v>
      </c>
      <c r="B955" s="2" t="str">
        <f>[1]Sheet1!M955</f>
        <v>男</v>
      </c>
      <c r="C955" s="3" t="str" cm="1">
        <f t="array" ref="C95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55" s="2" t="str">
        <f>MID([1]Sheet1!F955,FIND("(",[1]Sheet1!F955)+1,FIND("-",[1]Sheet1!F955)-FIND("(",[1]Sheet1!F955)-1)</f>
        <v>江苏</v>
      </c>
      <c r="E955" s="2" t="str">
        <f>MID([1]Sheet1!F955,FIND("-",[1]Sheet1!F955)+1,FIND(")",[1]Sheet1!F955)-FIND("-",[1]Sheet1!F955)-1)</f>
        <v>徐州</v>
      </c>
      <c r="F955" s="2" t="s">
        <v>70</v>
      </c>
      <c r="G955" s="2" t="s">
        <v>114</v>
      </c>
      <c r="H955" s="2" t="s">
        <v>66</v>
      </c>
      <c r="I955" s="2" t="s">
        <v>21</v>
      </c>
      <c r="J955" s="2" t="s">
        <v>22</v>
      </c>
      <c r="K955" s="2" t="s">
        <v>121</v>
      </c>
      <c r="L955" s="2" t="s">
        <v>24</v>
      </c>
      <c r="M955" s="2" t="s">
        <v>143</v>
      </c>
      <c r="N955" s="2" t="s">
        <v>105</v>
      </c>
      <c r="O955" s="2" t="s">
        <v>58</v>
      </c>
      <c r="P955" s="2" t="s">
        <v>39</v>
      </c>
      <c r="Q955" s="2" t="s">
        <v>214</v>
      </c>
    </row>
    <row r="956" spans="1:17">
      <c r="A956" s="2" t="s">
        <v>1293</v>
      </c>
      <c r="B956" s="2" t="str">
        <f>[1]Sheet1!M956</f>
        <v>男</v>
      </c>
      <c r="C956" s="3" t="str" cm="1">
        <f t="array" ref="C95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56" s="2" t="str">
        <f>MID([1]Sheet1!F956,FIND("(",[1]Sheet1!F956)+1,FIND("-",[1]Sheet1!F956)-FIND("(",[1]Sheet1!F956)-1)</f>
        <v>安徽</v>
      </c>
      <c r="E956" s="2" t="str">
        <f>MID([1]Sheet1!F956,FIND("-",[1]Sheet1!F956)+1,FIND(")",[1]Sheet1!F956)-FIND("-",[1]Sheet1!F956)-1)</f>
        <v>宿州</v>
      </c>
      <c r="F956" s="2" t="s">
        <v>18</v>
      </c>
      <c r="G956" s="2" t="s">
        <v>19</v>
      </c>
      <c r="H956" s="2" t="s">
        <v>66</v>
      </c>
      <c r="I956" s="2" t="s">
        <v>21</v>
      </c>
      <c r="J956" s="2" t="s">
        <v>77</v>
      </c>
      <c r="K956" s="2" t="s">
        <v>402</v>
      </c>
      <c r="L956" s="2" t="s">
        <v>24</v>
      </c>
      <c r="M956" s="2" t="s">
        <v>143</v>
      </c>
      <c r="N956" s="2" t="s">
        <v>37</v>
      </c>
      <c r="O956" s="2" t="s">
        <v>47</v>
      </c>
      <c r="P956" s="2" t="s">
        <v>86</v>
      </c>
      <c r="Q956" s="2" t="s">
        <v>321</v>
      </c>
    </row>
    <row r="957" spans="1:17">
      <c r="A957" s="2" t="s">
        <v>1294</v>
      </c>
      <c r="B957" s="2" t="str">
        <f>[1]Sheet1!M957</f>
        <v>男</v>
      </c>
      <c r="C957" s="3" t="str" cm="1">
        <f t="array" ref="C95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57" s="2" t="str">
        <f>MID([1]Sheet1!F957,FIND("(",[1]Sheet1!F957)+1,FIND("-",[1]Sheet1!F957)-FIND("(",[1]Sheet1!F957)-1)</f>
        <v>河南</v>
      </c>
      <c r="E957" s="2" t="str">
        <f>MID([1]Sheet1!F957,FIND("-",[1]Sheet1!F957)+1,FIND(")",[1]Sheet1!F957)-FIND("-",[1]Sheet1!F957)-1)</f>
        <v>郑州</v>
      </c>
      <c r="F957" s="2" t="s">
        <v>88</v>
      </c>
      <c r="G957" s="2" t="s">
        <v>162</v>
      </c>
      <c r="H957" s="2" t="s">
        <v>20</v>
      </c>
      <c r="I957" s="2" t="s">
        <v>51</v>
      </c>
      <c r="J957" s="2" t="s">
        <v>77</v>
      </c>
      <c r="K957" s="2" t="s">
        <v>115</v>
      </c>
      <c r="L957" s="2" t="s">
        <v>24</v>
      </c>
      <c r="M957" s="2" t="s">
        <v>36</v>
      </c>
      <c r="N957" s="2" t="s">
        <v>37</v>
      </c>
      <c r="O957" s="2" t="s">
        <v>89</v>
      </c>
      <c r="P957" s="2" t="s">
        <v>39</v>
      </c>
      <c r="Q957" s="2" t="s">
        <v>1174</v>
      </c>
    </row>
    <row r="958" spans="1:17">
      <c r="A958" s="2" t="s">
        <v>1295</v>
      </c>
      <c r="B958" s="2" t="str">
        <f>[1]Sheet1!M958</f>
        <v>男</v>
      </c>
      <c r="C958" s="3" t="str" cm="1">
        <f t="array" ref="C95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58" s="2" t="str">
        <f>MID([1]Sheet1!F958,FIND("(",[1]Sheet1!F958)+1,FIND("-",[1]Sheet1!F958)-FIND("(",[1]Sheet1!F958)-1)</f>
        <v>四川</v>
      </c>
      <c r="E958" s="2" t="str">
        <f>MID([1]Sheet1!F958,FIND("-",[1]Sheet1!F958)+1,FIND(")",[1]Sheet1!F958)-FIND("-",[1]Sheet1!F958)-1)</f>
        <v>成都</v>
      </c>
      <c r="F958" s="2" t="s">
        <v>42</v>
      </c>
      <c r="G958" s="2" t="s">
        <v>81</v>
      </c>
      <c r="H958" s="2" t="s">
        <v>66</v>
      </c>
      <c r="I958" s="2" t="s">
        <v>43</v>
      </c>
      <c r="J958" s="2" t="s">
        <v>82</v>
      </c>
      <c r="K958" s="2" t="s">
        <v>121</v>
      </c>
      <c r="L958" s="2" t="s">
        <v>24</v>
      </c>
      <c r="M958" s="2" t="s">
        <v>25</v>
      </c>
      <c r="N958" s="2" t="s">
        <v>26</v>
      </c>
      <c r="O958" s="2" t="s">
        <v>58</v>
      </c>
      <c r="P958" s="2" t="s">
        <v>39</v>
      </c>
      <c r="Q958" s="2" t="s">
        <v>103</v>
      </c>
    </row>
    <row r="959" spans="1:17">
      <c r="A959" s="2" t="s">
        <v>454</v>
      </c>
      <c r="B959" s="2" t="str">
        <f>[1]Sheet1!M959</f>
        <v>男</v>
      </c>
      <c r="C959" s="3" t="str" cm="1">
        <f t="array" ref="C95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959)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59" s="2" t="str">
        <f>MID([1]Sheet1!F959,FIND("(",[1]Sheet1!F959)+1,FIND("-",[1]Sheet1!F959)-FIND("(",[1]Sheet1!F959)-1)</f>
        <v>北京</v>
      </c>
      <c r="E959" s="2" t="str">
        <f>MID([1]Sheet1!F959,FIND("-",[1]Sheet1!F959)+1,FIND(")",[1]Sheet1!F959)-FIND("-",[1]Sheet1!F959)-1)</f>
        <v>北京</v>
      </c>
      <c r="F959" s="2" t="s">
        <v>88</v>
      </c>
      <c r="G959" s="2" t="s">
        <v>19</v>
      </c>
      <c r="H959" s="2" t="s">
        <v>66</v>
      </c>
      <c r="I959" s="2" t="s">
        <v>120</v>
      </c>
      <c r="J959" s="2" t="s">
        <v>77</v>
      </c>
      <c r="K959" s="2" t="s">
        <v>130</v>
      </c>
      <c r="L959" s="2" t="s">
        <v>24</v>
      </c>
      <c r="M959" s="2" t="s">
        <v>78</v>
      </c>
      <c r="N959" s="2" t="s">
        <v>37</v>
      </c>
      <c r="O959" s="2" t="s">
        <v>27</v>
      </c>
      <c r="P959" s="2" t="s">
        <v>39</v>
      </c>
      <c r="Q959" s="2" t="s">
        <v>441</v>
      </c>
    </row>
    <row r="960" spans="1:17">
      <c r="A960" s="2" t="s">
        <v>1296</v>
      </c>
      <c r="B960" s="2" t="str">
        <f>[1]Sheet1!M960</f>
        <v>男</v>
      </c>
      <c r="C960" s="3" t="str" cm="1">
        <f t="array" ref="C96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60" s="2" t="str">
        <f>MID([1]Sheet1!F960,FIND("(",[1]Sheet1!F960)+1,FIND("-",[1]Sheet1!F960)-FIND("(",[1]Sheet1!F960)-1)</f>
        <v>江苏</v>
      </c>
      <c r="E960" s="2" t="str">
        <f>MID([1]Sheet1!F960,FIND("-",[1]Sheet1!F960)+1,FIND(")",[1]Sheet1!F960)-FIND("-",[1]Sheet1!F960)-1)</f>
        <v>南通</v>
      </c>
      <c r="F960" s="2" t="s">
        <v>31</v>
      </c>
      <c r="G960" s="2" t="s">
        <v>50</v>
      </c>
      <c r="H960" s="2" t="s">
        <v>33</v>
      </c>
      <c r="I960" s="2" t="s">
        <v>120</v>
      </c>
      <c r="J960" s="2" t="s">
        <v>44</v>
      </c>
      <c r="K960" s="2" t="s">
        <v>130</v>
      </c>
      <c r="L960" s="2" t="s">
        <v>24</v>
      </c>
      <c r="M960" s="2" t="s">
        <v>36</v>
      </c>
      <c r="N960" s="2" t="s">
        <v>37</v>
      </c>
      <c r="O960" s="2" t="s">
        <v>450</v>
      </c>
      <c r="P960" s="2" t="s">
        <v>86</v>
      </c>
      <c r="Q960" s="2" t="s">
        <v>1297</v>
      </c>
    </row>
    <row r="961" spans="1:17">
      <c r="A961" s="2" t="s">
        <v>1298</v>
      </c>
      <c r="B961" s="2" t="str">
        <f>[1]Sheet1!M961</f>
        <v>男</v>
      </c>
      <c r="C961" s="3" t="str" cm="1">
        <f t="array" ref="C96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61" s="2" t="str">
        <f>MID([1]Sheet1!F961,FIND("(",[1]Sheet1!F961)+1,FIND("-",[1]Sheet1!F961)-FIND("(",[1]Sheet1!F961)-1)</f>
        <v>广西</v>
      </c>
      <c r="E961" s="2" t="str">
        <f>MID([1]Sheet1!F961,FIND("-",[1]Sheet1!F961)+1,FIND(")",[1]Sheet1!F961)-FIND("-",[1]Sheet1!F961)-1)</f>
        <v>柳州</v>
      </c>
      <c r="F961" s="2" t="s">
        <v>42</v>
      </c>
      <c r="G961" s="2" t="s">
        <v>162</v>
      </c>
      <c r="H961" s="2" t="s">
        <v>66</v>
      </c>
      <c r="I961" s="2" t="s">
        <v>21</v>
      </c>
      <c r="J961" s="2" t="s">
        <v>82</v>
      </c>
      <c r="K961" s="2" t="s">
        <v>117</v>
      </c>
      <c r="L961" s="2" t="s">
        <v>24</v>
      </c>
      <c r="M961" s="2" t="s">
        <v>78</v>
      </c>
      <c r="N961" s="2" t="s">
        <v>85</v>
      </c>
      <c r="O961" s="2" t="s">
        <v>406</v>
      </c>
      <c r="P961" s="2" t="s">
        <v>63</v>
      </c>
      <c r="Q961" s="2" t="s">
        <v>1299</v>
      </c>
    </row>
    <row r="962" spans="1:17">
      <c r="A962" s="2" t="s">
        <v>1300</v>
      </c>
      <c r="B962" s="2" t="str">
        <f>[1]Sheet1!M962</f>
        <v>女</v>
      </c>
      <c r="C962" s="3" t="str" cm="1">
        <f t="array" ref="C96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62" s="2" t="str">
        <f>MID([1]Sheet1!F962,FIND("(",[1]Sheet1!F962)+1,FIND("-",[1]Sheet1!F962)-FIND("(",[1]Sheet1!F962)-1)</f>
        <v>广西</v>
      </c>
      <c r="E962" s="2" t="str">
        <f>MID([1]Sheet1!F962,FIND("-",[1]Sheet1!F962)+1,FIND(")",[1]Sheet1!F962)-FIND("-",[1]Sheet1!F962)-1)</f>
        <v>柳州</v>
      </c>
      <c r="F962" s="2" t="s">
        <v>42</v>
      </c>
      <c r="G962" s="2" t="s">
        <v>32</v>
      </c>
      <c r="H962" s="2" t="s">
        <v>66</v>
      </c>
      <c r="I962" s="2" t="s">
        <v>51</v>
      </c>
      <c r="J962" s="2" t="s">
        <v>82</v>
      </c>
      <c r="K962" s="2" t="s">
        <v>117</v>
      </c>
      <c r="L962" s="2" t="s">
        <v>24</v>
      </c>
      <c r="M962" s="2" t="s">
        <v>36</v>
      </c>
      <c r="N962" s="2" t="s">
        <v>85</v>
      </c>
      <c r="O962" s="2" t="s">
        <v>47</v>
      </c>
      <c r="P962" s="2" t="s">
        <v>179</v>
      </c>
      <c r="Q962" s="2" t="s">
        <v>1301</v>
      </c>
    </row>
    <row r="963" spans="1:17">
      <c r="A963" s="2" t="s">
        <v>1302</v>
      </c>
      <c r="B963" s="2" t="str">
        <f>[1]Sheet1!M963</f>
        <v>男</v>
      </c>
      <c r="C963" s="3" t="str" cm="1">
        <f t="array" ref="C96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63" s="2" t="str">
        <f>MID([1]Sheet1!F963,FIND("(",[1]Sheet1!F963)+1,FIND("-",[1]Sheet1!F963)-FIND("(",[1]Sheet1!F963)-1)</f>
        <v>安徽</v>
      </c>
      <c r="E963" s="2" t="str">
        <f>MID([1]Sheet1!F963,FIND("-",[1]Sheet1!F963)+1,FIND(")",[1]Sheet1!F963)-FIND("-",[1]Sheet1!F963)-1)</f>
        <v>合肥</v>
      </c>
      <c r="F963" s="2" t="s">
        <v>18</v>
      </c>
      <c r="G963" s="2" t="s">
        <v>50</v>
      </c>
      <c r="H963" s="2" t="s">
        <v>66</v>
      </c>
      <c r="I963" s="2" t="s">
        <v>51</v>
      </c>
      <c r="J963" s="2" t="s">
        <v>44</v>
      </c>
      <c r="K963" s="2" t="s">
        <v>121</v>
      </c>
      <c r="L963" s="2" t="s">
        <v>24</v>
      </c>
      <c r="M963" s="2" t="s">
        <v>36</v>
      </c>
      <c r="N963" s="2" t="s">
        <v>37</v>
      </c>
      <c r="O963" s="2" t="s">
        <v>202</v>
      </c>
      <c r="P963" s="2" t="s">
        <v>28</v>
      </c>
      <c r="Q963" s="2" t="s">
        <v>133</v>
      </c>
    </row>
    <row r="964" spans="1:17">
      <c r="A964" s="2" t="s">
        <v>1303</v>
      </c>
      <c r="B964" s="2" t="str">
        <f>[1]Sheet1!M964</f>
        <v>男</v>
      </c>
      <c r="C964" s="3" t="str" cm="1">
        <f t="array" ref="C96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64" s="2" t="str">
        <f>MID([1]Sheet1!F964,FIND("(",[1]Sheet1!F964)+1,FIND("-",[1]Sheet1!F964)-FIND("(",[1]Sheet1!F964)-1)</f>
        <v>河南</v>
      </c>
      <c r="E964" s="2" t="str">
        <f>MID([1]Sheet1!F964,FIND("-",[1]Sheet1!F964)+1,FIND(")",[1]Sheet1!F964)-FIND("-",[1]Sheet1!F964)-1)</f>
        <v>郑州</v>
      </c>
      <c r="F964" s="2" t="s">
        <v>42</v>
      </c>
      <c r="G964" s="2" t="s">
        <v>50</v>
      </c>
      <c r="H964" s="2" t="s">
        <v>66</v>
      </c>
      <c r="I964" s="2" t="s">
        <v>21</v>
      </c>
      <c r="J964" s="2" t="s">
        <v>56</v>
      </c>
      <c r="K964" s="2" t="s">
        <v>130</v>
      </c>
      <c r="L964" s="2" t="s">
        <v>83</v>
      </c>
      <c r="M964" s="2" t="s">
        <v>25</v>
      </c>
      <c r="N964" s="2" t="s">
        <v>37</v>
      </c>
      <c r="O964" s="2" t="s">
        <v>89</v>
      </c>
      <c r="P964" s="2" t="s">
        <v>59</v>
      </c>
      <c r="Q964" s="2" t="s">
        <v>267</v>
      </c>
    </row>
    <row r="965" spans="1:17">
      <c r="A965" s="2" t="s">
        <v>1304</v>
      </c>
      <c r="B965" s="2" t="str">
        <f>[1]Sheet1!M965</f>
        <v>男</v>
      </c>
      <c r="C965" s="3" t="str" cm="1">
        <f t="array" ref="C96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65" s="2" t="str">
        <f>MID([1]Sheet1!F965,FIND("(",[1]Sheet1!F965)+1,FIND("-",[1]Sheet1!F965)-FIND("(",[1]Sheet1!F965)-1)</f>
        <v>广西</v>
      </c>
      <c r="E965" s="2" t="str">
        <f>MID([1]Sheet1!F965,FIND("-",[1]Sheet1!F965)+1,FIND(")",[1]Sheet1!F965)-FIND("-",[1]Sheet1!F965)-1)</f>
        <v>南宁</v>
      </c>
      <c r="F965" s="2" t="s">
        <v>42</v>
      </c>
      <c r="G965" s="2" t="s">
        <v>81</v>
      </c>
      <c r="H965" s="2" t="s">
        <v>66</v>
      </c>
      <c r="I965" s="2" t="s">
        <v>21</v>
      </c>
      <c r="J965" s="2" t="s">
        <v>77</v>
      </c>
      <c r="K965" s="2" t="s">
        <v>130</v>
      </c>
      <c r="L965" s="2" t="s">
        <v>83</v>
      </c>
      <c r="M965" s="2" t="s">
        <v>71</v>
      </c>
      <c r="N965" s="2" t="s">
        <v>37</v>
      </c>
      <c r="O965" s="2" t="s">
        <v>27</v>
      </c>
      <c r="P965" s="2" t="s">
        <v>86</v>
      </c>
      <c r="Q965" s="2" t="s">
        <v>29</v>
      </c>
    </row>
    <row r="966" spans="1:17">
      <c r="A966" s="2" t="s">
        <v>1305</v>
      </c>
      <c r="B966" s="2" t="str">
        <f>[1]Sheet1!M966</f>
        <v>男</v>
      </c>
      <c r="C966" s="3" t="str" cm="1">
        <f t="array" ref="C96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66" s="2" t="str">
        <f>MID([1]Sheet1!F966,FIND("(",[1]Sheet1!F966)+1,FIND("-",[1]Sheet1!F966)-FIND("(",[1]Sheet1!F966)-1)</f>
        <v>陕西</v>
      </c>
      <c r="E966" s="2" t="str">
        <f>MID([1]Sheet1!F966,FIND("-",[1]Sheet1!F966)+1,FIND(")",[1]Sheet1!F966)-FIND("-",[1]Sheet1!F966)-1)</f>
        <v>西安</v>
      </c>
      <c r="F966" s="2" t="s">
        <v>18</v>
      </c>
      <c r="G966" s="2" t="s">
        <v>50</v>
      </c>
      <c r="H966" s="2" t="s">
        <v>66</v>
      </c>
      <c r="I966" s="2" t="s">
        <v>21</v>
      </c>
      <c r="J966" s="2" t="s">
        <v>22</v>
      </c>
      <c r="K966" s="2" t="s">
        <v>117</v>
      </c>
      <c r="L966" s="2" t="s">
        <v>24</v>
      </c>
      <c r="M966" s="2" t="s">
        <v>36</v>
      </c>
      <c r="N966" s="2" t="s">
        <v>37</v>
      </c>
      <c r="O966" s="2" t="s">
        <v>58</v>
      </c>
      <c r="P966" s="2" t="s">
        <v>63</v>
      </c>
      <c r="Q966" s="2" t="s">
        <v>150</v>
      </c>
    </row>
    <row r="967" spans="1:17">
      <c r="A967" s="2" t="s">
        <v>1306</v>
      </c>
      <c r="B967" s="2" t="str">
        <f>[1]Sheet1!M967</f>
        <v>男</v>
      </c>
      <c r="C967" s="3" t="str" cm="1">
        <f t="array" ref="C96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67" s="2" t="str">
        <f>MID([1]Sheet1!F967,FIND("(",[1]Sheet1!F967)+1,FIND("-",[1]Sheet1!F967)-FIND("(",[1]Sheet1!F967)-1)</f>
        <v>浙江</v>
      </c>
      <c r="E967" s="2" t="str">
        <f>MID([1]Sheet1!F967,FIND("-",[1]Sheet1!F967)+1,FIND(")",[1]Sheet1!F967)-FIND("-",[1]Sheet1!F967)-1)</f>
        <v>绍兴</v>
      </c>
      <c r="F967" s="2" t="s">
        <v>70</v>
      </c>
      <c r="G967" s="2" t="s">
        <v>114</v>
      </c>
      <c r="H967" s="2" t="s">
        <v>66</v>
      </c>
      <c r="I967" s="2" t="s">
        <v>43</v>
      </c>
      <c r="J967" s="2" t="s">
        <v>82</v>
      </c>
      <c r="K967" s="2" t="s">
        <v>240</v>
      </c>
      <c r="L967" s="2" t="s">
        <v>83</v>
      </c>
      <c r="M967" s="2" t="s">
        <v>36</v>
      </c>
      <c r="N967" s="2" t="s">
        <v>37</v>
      </c>
      <c r="O967" s="2" t="s">
        <v>204</v>
      </c>
      <c r="P967" s="2" t="s">
        <v>59</v>
      </c>
      <c r="Q967" s="2" t="s">
        <v>29</v>
      </c>
    </row>
    <row r="968" spans="1:17">
      <c r="A968" s="2" t="s">
        <v>1307</v>
      </c>
      <c r="B968" s="2" t="str">
        <f>[1]Sheet1!M968</f>
        <v>男</v>
      </c>
      <c r="C968" s="3" t="str" cm="1">
        <f t="array" ref="C96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68" s="2" t="str">
        <f>MID([1]Sheet1!F968,FIND("(",[1]Sheet1!F968)+1,FIND("-",[1]Sheet1!F968)-FIND("(",[1]Sheet1!F968)-1)</f>
        <v>河南</v>
      </c>
      <c r="E968" s="2" t="str">
        <f>MID([1]Sheet1!F968,FIND("-",[1]Sheet1!F968)+1,FIND(")",[1]Sheet1!F968)-FIND("-",[1]Sheet1!F968)-1)</f>
        <v>许昌</v>
      </c>
      <c r="F968" s="2" t="s">
        <v>31</v>
      </c>
      <c r="G968" s="2" t="s">
        <v>50</v>
      </c>
      <c r="H968" s="2" t="s">
        <v>20</v>
      </c>
      <c r="I968" s="2" t="s">
        <v>51</v>
      </c>
      <c r="J968" s="2" t="s">
        <v>44</v>
      </c>
      <c r="K968" s="2" t="s">
        <v>130</v>
      </c>
      <c r="L968" s="2" t="s">
        <v>83</v>
      </c>
      <c r="M968" s="2" t="s">
        <v>92</v>
      </c>
      <c r="N968" s="2" t="s">
        <v>37</v>
      </c>
      <c r="O968" s="2" t="s">
        <v>301</v>
      </c>
      <c r="P968" s="2" t="s">
        <v>179</v>
      </c>
      <c r="Q968" s="2" t="s">
        <v>98</v>
      </c>
    </row>
    <row r="969" spans="1:17">
      <c r="A969" s="2" t="s">
        <v>1308</v>
      </c>
      <c r="B969" s="2" t="str">
        <f>[1]Sheet1!M969</f>
        <v>男</v>
      </c>
      <c r="C969" s="3" t="str" cm="1">
        <f t="array" ref="C96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969)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69" s="2" t="str">
        <f>MID([1]Sheet1!F969,FIND("(",[1]Sheet1!F969)+1,FIND("-",[1]Sheet1!F969)-FIND("(",[1]Sheet1!F969)-1)</f>
        <v>江苏</v>
      </c>
      <c r="E969" s="2" t="str">
        <f>MID([1]Sheet1!F969,FIND("-",[1]Sheet1!F969)+1,FIND(")",[1]Sheet1!F969)-FIND("-",[1]Sheet1!F969)-1)</f>
        <v>淮安</v>
      </c>
      <c r="F969" s="2" t="s">
        <v>31</v>
      </c>
      <c r="G969" s="2" t="s">
        <v>114</v>
      </c>
      <c r="H969" s="2" t="s">
        <v>66</v>
      </c>
      <c r="I969" s="2" t="s">
        <v>21</v>
      </c>
      <c r="J969" s="2" t="s">
        <v>82</v>
      </c>
      <c r="K969" s="2" t="s">
        <v>121</v>
      </c>
      <c r="L969" s="2" t="s">
        <v>24</v>
      </c>
      <c r="M969" s="2" t="s">
        <v>36</v>
      </c>
      <c r="N969" s="2" t="s">
        <v>85</v>
      </c>
      <c r="O969" s="2" t="s">
        <v>573</v>
      </c>
      <c r="P969" s="2" t="s">
        <v>28</v>
      </c>
      <c r="Q969" s="2" t="s">
        <v>75</v>
      </c>
    </row>
    <row r="970" spans="1:17">
      <c r="A970" s="2" t="s">
        <v>1309</v>
      </c>
      <c r="B970" s="2" t="str">
        <f>[1]Sheet1!M970</f>
        <v>男</v>
      </c>
      <c r="C970" s="3" t="str" cm="1">
        <f t="array" ref="C97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70" s="2" t="str">
        <f>MID([1]Sheet1!F970,FIND("(",[1]Sheet1!F970)+1,FIND("-",[1]Sheet1!F970)-FIND("(",[1]Sheet1!F970)-1)</f>
        <v>山东</v>
      </c>
      <c r="E970" s="2" t="str">
        <f>MID([1]Sheet1!F970,FIND("-",[1]Sheet1!F970)+1,FIND(")",[1]Sheet1!F970)-FIND("-",[1]Sheet1!F970)-1)</f>
        <v>滨州</v>
      </c>
      <c r="F970" s="2" t="s">
        <v>31</v>
      </c>
      <c r="G970" s="2" t="s">
        <v>81</v>
      </c>
      <c r="H970" s="2" t="s">
        <v>55</v>
      </c>
      <c r="I970" s="2" t="s">
        <v>43</v>
      </c>
      <c r="J970" s="2" t="s">
        <v>96</v>
      </c>
      <c r="K970" s="2" t="s">
        <v>537</v>
      </c>
      <c r="L970" s="2" t="s">
        <v>24</v>
      </c>
      <c r="M970" s="2" t="s">
        <v>78</v>
      </c>
      <c r="N970" s="2" t="s">
        <v>46</v>
      </c>
      <c r="O970" s="2" t="s">
        <v>47</v>
      </c>
      <c r="P970" s="2" t="s">
        <v>39</v>
      </c>
      <c r="Q970" s="2" t="s">
        <v>1310</v>
      </c>
    </row>
    <row r="971" spans="1:17">
      <c r="A971" s="2" t="s">
        <v>1311</v>
      </c>
      <c r="B971" s="2" t="str">
        <f>[1]Sheet1!M971</f>
        <v>男</v>
      </c>
      <c r="C971" s="3" t="str" cm="1">
        <f t="array" ref="C97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71" s="2" t="str">
        <f>MID([1]Sheet1!F971,FIND("(",[1]Sheet1!F971)+1,FIND("-",[1]Sheet1!F971)-FIND("(",[1]Sheet1!F971)-1)</f>
        <v>上海</v>
      </c>
      <c r="E971" s="2" t="str">
        <f>MID([1]Sheet1!F971,FIND("-",[1]Sheet1!F971)+1,FIND(")",[1]Sheet1!F971)-FIND("-",[1]Sheet1!F971)-1)</f>
        <v>上海</v>
      </c>
      <c r="F971" s="2" t="s">
        <v>42</v>
      </c>
      <c r="G971" s="2" t="s">
        <v>162</v>
      </c>
      <c r="H971" s="2" t="s">
        <v>66</v>
      </c>
      <c r="I971" s="2" t="s">
        <v>21</v>
      </c>
      <c r="J971" s="2" t="s">
        <v>96</v>
      </c>
      <c r="K971" s="2" t="s">
        <v>115</v>
      </c>
      <c r="L971" s="2" t="s">
        <v>24</v>
      </c>
      <c r="M971" s="2" t="s">
        <v>36</v>
      </c>
      <c r="N971" s="2" t="s">
        <v>37</v>
      </c>
      <c r="O971" s="2" t="s">
        <v>47</v>
      </c>
      <c r="P971" s="2" t="s">
        <v>218</v>
      </c>
      <c r="Q971" s="2" t="s">
        <v>172</v>
      </c>
    </row>
    <row r="972" spans="1:17">
      <c r="A972" s="2" t="s">
        <v>1312</v>
      </c>
      <c r="B972" s="2" t="str">
        <f>[1]Sheet1!M972</f>
        <v>男</v>
      </c>
      <c r="C972" s="3" t="str" cm="1">
        <f t="array" ref="C97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72" s="2" t="str">
        <f>MID([1]Sheet1!F972,FIND("(",[1]Sheet1!F972)+1,FIND("-",[1]Sheet1!F972)-FIND("(",[1]Sheet1!F972)-1)</f>
        <v>陕西</v>
      </c>
      <c r="E972" s="2" t="str">
        <f>MID([1]Sheet1!F972,FIND("-",[1]Sheet1!F972)+1,FIND(")",[1]Sheet1!F972)-FIND("-",[1]Sheet1!F972)-1)</f>
        <v>西安</v>
      </c>
      <c r="F972" s="2" t="s">
        <v>42</v>
      </c>
      <c r="G972" s="2" t="s">
        <v>32</v>
      </c>
      <c r="H972" s="2" t="s">
        <v>55</v>
      </c>
      <c r="I972" s="2" t="s">
        <v>34</v>
      </c>
      <c r="J972" s="2" t="s">
        <v>56</v>
      </c>
      <c r="K972" s="2" t="s">
        <v>117</v>
      </c>
      <c r="L972" s="2" t="s">
        <v>24</v>
      </c>
      <c r="M972" s="2" t="s">
        <v>36</v>
      </c>
      <c r="N972" s="2" t="s">
        <v>37</v>
      </c>
      <c r="O972" s="2" t="s">
        <v>47</v>
      </c>
      <c r="P972" s="2" t="s">
        <v>63</v>
      </c>
      <c r="Q972" s="2" t="s">
        <v>1313</v>
      </c>
    </row>
    <row r="973" spans="1:17">
      <c r="A973" s="2" t="s">
        <v>1312</v>
      </c>
      <c r="B973" s="2" t="str">
        <f>[1]Sheet1!M973</f>
        <v>男</v>
      </c>
      <c r="C973" s="3" t="str" cm="1">
        <f t="array" ref="C97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973" s="2" t="str">
        <f>MID([1]Sheet1!F973,FIND("(",[1]Sheet1!F973)+1,FIND("-",[1]Sheet1!F973)-FIND("(",[1]Sheet1!F973)-1)</f>
        <v>陕西</v>
      </c>
      <c r="E973" s="2" t="str">
        <f>MID([1]Sheet1!F973,FIND("-",[1]Sheet1!F973)+1,FIND(")",[1]Sheet1!F973)-FIND("-",[1]Sheet1!F973)-1)</f>
        <v>西安</v>
      </c>
      <c r="F973" s="2" t="s">
        <v>42</v>
      </c>
      <c r="G973" s="2" t="s">
        <v>32</v>
      </c>
      <c r="H973" s="2" t="s">
        <v>55</v>
      </c>
      <c r="I973" s="2" t="s">
        <v>34</v>
      </c>
      <c r="J973" s="2" t="s">
        <v>56</v>
      </c>
      <c r="K973" s="2" t="s">
        <v>117</v>
      </c>
      <c r="L973" s="2" t="s">
        <v>24</v>
      </c>
      <c r="M973" s="2" t="s">
        <v>36</v>
      </c>
      <c r="N973" s="2" t="s">
        <v>37</v>
      </c>
      <c r="O973" s="2" t="s">
        <v>47</v>
      </c>
      <c r="P973" s="2" t="s">
        <v>63</v>
      </c>
      <c r="Q973" s="2" t="s">
        <v>103</v>
      </c>
    </row>
    <row r="974" spans="1:17">
      <c r="A974" s="2" t="s">
        <v>1314</v>
      </c>
      <c r="B974" s="2" t="str">
        <f>[1]Sheet1!M974</f>
        <v>男</v>
      </c>
      <c r="C974" s="3" t="str" cm="1">
        <f t="array" ref="C97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74" s="2" t="str">
        <f>MID([1]Sheet1!F974,FIND("(",[1]Sheet1!F974)+1,FIND("-",[1]Sheet1!F974)-FIND("(",[1]Sheet1!F974)-1)</f>
        <v>广西</v>
      </c>
      <c r="E974" s="2" t="str">
        <f>MID([1]Sheet1!F974,FIND("-",[1]Sheet1!F974)+1,FIND(")",[1]Sheet1!F974)-FIND("-",[1]Sheet1!F974)-1)</f>
        <v>柳州</v>
      </c>
      <c r="F974" s="2" t="s">
        <v>31</v>
      </c>
      <c r="G974" s="2" t="s">
        <v>50</v>
      </c>
      <c r="H974" s="2" t="s">
        <v>55</v>
      </c>
      <c r="I974" s="2" t="s">
        <v>73</v>
      </c>
      <c r="J974" s="2" t="s">
        <v>96</v>
      </c>
      <c r="K974" s="2" t="s">
        <v>117</v>
      </c>
      <c r="L974" s="2" t="s">
        <v>24</v>
      </c>
      <c r="M974" s="2" t="s">
        <v>25</v>
      </c>
      <c r="N974" s="2" t="s">
        <v>46</v>
      </c>
      <c r="O974" s="2" t="s">
        <v>47</v>
      </c>
      <c r="P974" s="2" t="s">
        <v>63</v>
      </c>
      <c r="Q974" s="2" t="s">
        <v>48</v>
      </c>
    </row>
    <row r="975" spans="1:17">
      <c r="A975" s="2" t="s">
        <v>1315</v>
      </c>
      <c r="B975" s="2" t="str">
        <f>[1]Sheet1!M975</f>
        <v>男</v>
      </c>
      <c r="C975" s="3" t="str" cm="1">
        <f t="array" ref="C97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75" s="2" t="str">
        <f>MID([1]Sheet1!F975,FIND("(",[1]Sheet1!F975)+1,FIND("-",[1]Sheet1!F975)-FIND("(",[1]Sheet1!F975)-1)</f>
        <v>湖南</v>
      </c>
      <c r="E975" s="2" t="str">
        <f>MID([1]Sheet1!F975,FIND("-",[1]Sheet1!F975)+1,FIND(")",[1]Sheet1!F975)-FIND("-",[1]Sheet1!F975)-1)</f>
        <v>衡阳</v>
      </c>
      <c r="F975" s="2" t="s">
        <v>42</v>
      </c>
      <c r="G975" s="2" t="s">
        <v>50</v>
      </c>
      <c r="H975" s="2" t="s">
        <v>20</v>
      </c>
      <c r="I975" s="2" t="s">
        <v>43</v>
      </c>
      <c r="J975" s="2" t="s">
        <v>96</v>
      </c>
      <c r="K975" s="2" t="s">
        <v>117</v>
      </c>
      <c r="L975" s="2" t="s">
        <v>83</v>
      </c>
      <c r="M975" s="2" t="s">
        <v>126</v>
      </c>
      <c r="N975" s="2" t="s">
        <v>26</v>
      </c>
      <c r="O975" s="2" t="s">
        <v>47</v>
      </c>
      <c r="P975" s="2" t="s">
        <v>39</v>
      </c>
      <c r="Q975" s="2" t="s">
        <v>103</v>
      </c>
    </row>
    <row r="976" spans="1:17">
      <c r="A976" s="2" t="s">
        <v>1316</v>
      </c>
      <c r="B976" s="2" t="str">
        <f>[1]Sheet1!M976</f>
        <v>女</v>
      </c>
      <c r="C976" s="3" t="str" cm="1">
        <f t="array" ref="C97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76" s="2" t="str">
        <f>MID([1]Sheet1!F976,FIND("(",[1]Sheet1!F976)+1,FIND("-",[1]Sheet1!F976)-FIND("(",[1]Sheet1!F976)-1)</f>
        <v>天津</v>
      </c>
      <c r="E976" s="2" t="str">
        <f>MID([1]Sheet1!F976,FIND("-",[1]Sheet1!F976)+1,FIND(")",[1]Sheet1!F976)-FIND("-",[1]Sheet1!F976)-1)</f>
        <v>天津</v>
      </c>
      <c r="F976" s="2" t="s">
        <v>31</v>
      </c>
      <c r="G976" s="2" t="s">
        <v>81</v>
      </c>
      <c r="H976" s="2" t="s">
        <v>66</v>
      </c>
      <c r="I976" s="2" t="s">
        <v>120</v>
      </c>
      <c r="J976" s="2" t="s">
        <v>56</v>
      </c>
      <c r="K976" s="2" t="s">
        <v>117</v>
      </c>
      <c r="L976" s="2" t="s">
        <v>24</v>
      </c>
      <c r="M976" s="2" t="s">
        <v>36</v>
      </c>
      <c r="N976" s="2" t="s">
        <v>37</v>
      </c>
      <c r="O976" s="2" t="s">
        <v>89</v>
      </c>
      <c r="P976" s="2" t="s">
        <v>218</v>
      </c>
      <c r="Q976" s="2" t="s">
        <v>487</v>
      </c>
    </row>
    <row r="977" spans="1:17">
      <c r="A977" s="2" t="s">
        <v>591</v>
      </c>
      <c r="B977" s="2" t="str">
        <f>[1]Sheet1!M977</f>
        <v>男</v>
      </c>
      <c r="C977" s="3" t="str" cm="1">
        <f t="array" ref="C97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977" s="2" t="str">
        <f>MID([1]Sheet1!F977,FIND("(",[1]Sheet1!F977)+1,FIND("-",[1]Sheet1!F977)-FIND("(",[1]Sheet1!F977)-1)</f>
        <v>辽宁</v>
      </c>
      <c r="E977" s="2" t="str">
        <f>MID([1]Sheet1!F977,FIND("-",[1]Sheet1!F977)+1,FIND(")",[1]Sheet1!F977)-FIND("-",[1]Sheet1!F977)-1)</f>
        <v>辽阳</v>
      </c>
      <c r="F977" s="2" t="s">
        <v>31</v>
      </c>
      <c r="G977" s="2" t="s">
        <v>32</v>
      </c>
      <c r="H977" s="2" t="s">
        <v>66</v>
      </c>
      <c r="I977" s="2" t="s">
        <v>51</v>
      </c>
      <c r="J977" s="2" t="s">
        <v>44</v>
      </c>
      <c r="K977" s="2" t="s">
        <v>117</v>
      </c>
      <c r="L977" s="2" t="s">
        <v>24</v>
      </c>
      <c r="M977" s="2" t="s">
        <v>36</v>
      </c>
      <c r="N977" s="2" t="s">
        <v>85</v>
      </c>
      <c r="O977" s="2" t="s">
        <v>373</v>
      </c>
      <c r="P977" s="2" t="s">
        <v>39</v>
      </c>
      <c r="Q977" s="2" t="s">
        <v>29</v>
      </c>
    </row>
    <row r="978" spans="1:17">
      <c r="A978" s="2" t="s">
        <v>1317</v>
      </c>
      <c r="B978" s="2" t="str">
        <f>[1]Sheet1!M978</f>
        <v>男</v>
      </c>
      <c r="C978" s="3" t="str" cm="1">
        <f t="array" ref="C97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78" s="2" t="str">
        <f>MID([1]Sheet1!F978,FIND("(",[1]Sheet1!F978)+1,FIND("-",[1]Sheet1!F978)-FIND("(",[1]Sheet1!F978)-1)</f>
        <v>天津</v>
      </c>
      <c r="E978" s="2" t="str">
        <f>MID([1]Sheet1!F978,FIND("-",[1]Sheet1!F978)+1,FIND(")",[1]Sheet1!F978)-FIND("-",[1]Sheet1!F978)-1)</f>
        <v>天津</v>
      </c>
      <c r="F978" s="2" t="s">
        <v>18</v>
      </c>
      <c r="G978" s="2" t="s">
        <v>162</v>
      </c>
      <c r="H978" s="2" t="s">
        <v>20</v>
      </c>
      <c r="I978" s="2" t="s">
        <v>51</v>
      </c>
      <c r="J978" s="2" t="s">
        <v>82</v>
      </c>
      <c r="K978" s="2" t="s">
        <v>125</v>
      </c>
      <c r="L978" s="2" t="s">
        <v>24</v>
      </c>
      <c r="M978" s="2" t="s">
        <v>25</v>
      </c>
      <c r="N978" s="2" t="s">
        <v>37</v>
      </c>
      <c r="O978" s="2" t="s">
        <v>58</v>
      </c>
      <c r="P978" s="2" t="s">
        <v>63</v>
      </c>
      <c r="Q978" s="2" t="s">
        <v>68</v>
      </c>
    </row>
    <row r="979" spans="1:17">
      <c r="A979" s="2" t="s">
        <v>1318</v>
      </c>
      <c r="B979" s="2" t="str">
        <f>[1]Sheet1!M979</f>
        <v>女</v>
      </c>
      <c r="C979" s="3" t="str" cm="1">
        <f t="array" ref="C97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979)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79" s="2" t="str">
        <f>MID([1]Sheet1!F979,FIND("(",[1]Sheet1!F979)+1,FIND("-",[1]Sheet1!F979)-FIND("(",[1]Sheet1!F979)-1)</f>
        <v>天津</v>
      </c>
      <c r="E979" s="2" t="str">
        <f>MID([1]Sheet1!F979,FIND("-",[1]Sheet1!F979)+1,FIND(")",[1]Sheet1!F979)-FIND("-",[1]Sheet1!F979)-1)</f>
        <v>天津</v>
      </c>
      <c r="F979" s="2" t="s">
        <v>18</v>
      </c>
      <c r="G979" s="2" t="s">
        <v>50</v>
      </c>
      <c r="H979" s="2" t="s">
        <v>20</v>
      </c>
      <c r="I979" s="2" t="s">
        <v>43</v>
      </c>
      <c r="J979" s="2" t="s">
        <v>77</v>
      </c>
      <c r="K979" s="2" t="s">
        <v>117</v>
      </c>
      <c r="L979" s="2" t="s">
        <v>83</v>
      </c>
      <c r="M979" s="2" t="s">
        <v>36</v>
      </c>
      <c r="N979" s="2" t="s">
        <v>46</v>
      </c>
      <c r="O979" s="2" t="s">
        <v>422</v>
      </c>
      <c r="P979" s="2" t="s">
        <v>289</v>
      </c>
      <c r="Q979" s="2" t="s">
        <v>75</v>
      </c>
    </row>
    <row r="980" spans="1:17">
      <c r="A980" s="2" t="s">
        <v>1319</v>
      </c>
      <c r="B980" s="2" t="str">
        <f>[1]Sheet1!M980</f>
        <v>女</v>
      </c>
      <c r="C980" s="3" t="str" cm="1">
        <f t="array" ref="C98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东北</v>
      </c>
      <c r="D980" s="2" t="str">
        <f>MID([1]Sheet1!F980,FIND("(",[1]Sheet1!F980)+1,FIND("-",[1]Sheet1!F980)-FIND("(",[1]Sheet1!F980)-1)</f>
        <v>辽宁</v>
      </c>
      <c r="E980" s="2" t="str">
        <f>MID([1]Sheet1!F980,FIND("-",[1]Sheet1!F980)+1,FIND(")",[1]Sheet1!F980)-FIND("-",[1]Sheet1!F980)-1)</f>
        <v>鞍山</v>
      </c>
      <c r="F980" s="2" t="s">
        <v>31</v>
      </c>
      <c r="G980" s="2" t="s">
        <v>162</v>
      </c>
      <c r="H980" s="2" t="s">
        <v>66</v>
      </c>
      <c r="I980" s="2" t="s">
        <v>51</v>
      </c>
      <c r="J980" s="2" t="s">
        <v>35</v>
      </c>
      <c r="K980" s="2" t="s">
        <v>169</v>
      </c>
      <c r="L980" s="2" t="s">
        <v>24</v>
      </c>
      <c r="M980" s="2" t="s">
        <v>36</v>
      </c>
      <c r="N980" s="2" t="s">
        <v>37</v>
      </c>
      <c r="O980" s="2" t="s">
        <v>47</v>
      </c>
      <c r="P980" s="2" t="s">
        <v>39</v>
      </c>
      <c r="Q980" s="2" t="s">
        <v>75</v>
      </c>
    </row>
    <row r="981" spans="1:17">
      <c r="A981" s="2" t="s">
        <v>1320</v>
      </c>
      <c r="B981" s="2" t="str">
        <f>[1]Sheet1!M981</f>
        <v>男</v>
      </c>
      <c r="C981" s="3" t="str" cm="1">
        <f t="array" ref="C98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81" s="2" t="str">
        <f>MID([1]Sheet1!F981,FIND("(",[1]Sheet1!F981)+1,FIND("-",[1]Sheet1!F981)-FIND("(",[1]Sheet1!F981)-1)</f>
        <v>湖北</v>
      </c>
      <c r="E981" s="2" t="str">
        <f>MID([1]Sheet1!F981,FIND("-",[1]Sheet1!F981)+1,FIND(")",[1]Sheet1!F981)-FIND("-",[1]Sheet1!F981)-1)</f>
        <v>武汉</v>
      </c>
      <c r="F981" s="2" t="s">
        <v>88</v>
      </c>
      <c r="G981" s="2" t="s">
        <v>81</v>
      </c>
      <c r="H981" s="2" t="s">
        <v>66</v>
      </c>
      <c r="I981" s="2" t="s">
        <v>34</v>
      </c>
      <c r="J981" s="2" t="s">
        <v>96</v>
      </c>
      <c r="K981" s="2" t="s">
        <v>130</v>
      </c>
      <c r="L981" s="2" t="s">
        <v>24</v>
      </c>
      <c r="M981" s="2" t="s">
        <v>78</v>
      </c>
      <c r="N981" s="2" t="s">
        <v>37</v>
      </c>
      <c r="O981" s="2" t="s">
        <v>47</v>
      </c>
      <c r="P981" s="2" t="s">
        <v>86</v>
      </c>
      <c r="Q981" s="2" t="s">
        <v>348</v>
      </c>
    </row>
    <row r="982" spans="1:17">
      <c r="A982" s="2" t="s">
        <v>1321</v>
      </c>
      <c r="B982" s="2" t="str">
        <f>[1]Sheet1!M982</f>
        <v>男</v>
      </c>
      <c r="C982" s="3" t="str" cm="1">
        <f t="array" ref="C98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982" s="2" t="str">
        <f>MID([1]Sheet1!F982,FIND("(",[1]Sheet1!F982)+1,FIND("-",[1]Sheet1!F982)-FIND("(",[1]Sheet1!F982)-1)</f>
        <v>天津</v>
      </c>
      <c r="E982" s="2" t="str">
        <f>MID([1]Sheet1!F982,FIND("-",[1]Sheet1!F982)+1,FIND(")",[1]Sheet1!F982)-FIND("-",[1]Sheet1!F982)-1)</f>
        <v>天津</v>
      </c>
      <c r="F982" s="2" t="s">
        <v>88</v>
      </c>
      <c r="G982" s="2" t="s">
        <v>50</v>
      </c>
      <c r="H982" s="2" t="s">
        <v>66</v>
      </c>
      <c r="I982" s="2" t="s">
        <v>51</v>
      </c>
      <c r="J982" s="2" t="s">
        <v>82</v>
      </c>
      <c r="K982" s="2" t="s">
        <v>115</v>
      </c>
      <c r="L982" s="2" t="s">
        <v>24</v>
      </c>
      <c r="M982" s="2" t="s">
        <v>25</v>
      </c>
      <c r="N982" s="2" t="s">
        <v>37</v>
      </c>
      <c r="O982" s="2" t="s">
        <v>27</v>
      </c>
      <c r="P982" s="2" t="s">
        <v>179</v>
      </c>
      <c r="Q982" s="2" t="s">
        <v>1322</v>
      </c>
    </row>
    <row r="983" spans="1:17">
      <c r="A983" s="2" t="s">
        <v>1323</v>
      </c>
      <c r="B983" s="2" t="str">
        <f>[1]Sheet1!M983</f>
        <v>男</v>
      </c>
      <c r="C983" s="3" t="str" cm="1">
        <f t="array" ref="C98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83" s="2" t="str">
        <f>MID([1]Sheet1!F983,FIND("(",[1]Sheet1!F983)+1,FIND("-",[1]Sheet1!F983)-FIND("(",[1]Sheet1!F983)-1)</f>
        <v>安徽</v>
      </c>
      <c r="E983" s="2" t="str">
        <f>MID([1]Sheet1!F983,FIND("-",[1]Sheet1!F983)+1,FIND(")",[1]Sheet1!F983)-FIND("-",[1]Sheet1!F983)-1)</f>
        <v>亳州</v>
      </c>
      <c r="F983" s="2" t="s">
        <v>88</v>
      </c>
      <c r="G983" s="2" t="s">
        <v>50</v>
      </c>
      <c r="H983" s="2" t="s">
        <v>20</v>
      </c>
      <c r="I983" s="2" t="s">
        <v>21</v>
      </c>
      <c r="J983" s="2" t="s">
        <v>22</v>
      </c>
      <c r="K983" s="2" t="s">
        <v>117</v>
      </c>
      <c r="L983" s="2" t="s">
        <v>83</v>
      </c>
      <c r="M983" s="2" t="s">
        <v>36</v>
      </c>
      <c r="N983" s="2" t="s">
        <v>105</v>
      </c>
      <c r="O983" s="2" t="s">
        <v>1128</v>
      </c>
      <c r="P983" s="2" t="s">
        <v>179</v>
      </c>
      <c r="Q983" s="2" t="s">
        <v>200</v>
      </c>
    </row>
    <row r="984" spans="1:17">
      <c r="A984" s="2" t="s">
        <v>953</v>
      </c>
      <c r="B984" s="2" t="str">
        <f>[1]Sheet1!M984</f>
        <v>男</v>
      </c>
      <c r="C984" s="3" t="str" cm="1">
        <f t="array" ref="C98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84" s="2" t="str">
        <f>MID([1]Sheet1!F984,FIND("(",[1]Sheet1!F984)+1,FIND("-",[1]Sheet1!F984)-FIND("(",[1]Sheet1!F984)-1)</f>
        <v>广西</v>
      </c>
      <c r="E984" s="2" t="str">
        <f>MID([1]Sheet1!F984,FIND("-",[1]Sheet1!F984)+1,FIND(")",[1]Sheet1!F984)-FIND("-",[1]Sheet1!F984)-1)</f>
        <v>南宁</v>
      </c>
      <c r="F984" s="2" t="s">
        <v>159</v>
      </c>
      <c r="G984" s="2" t="s">
        <v>32</v>
      </c>
      <c r="H984" s="2" t="s">
        <v>66</v>
      </c>
      <c r="I984" s="2" t="s">
        <v>34</v>
      </c>
      <c r="J984" s="2" t="s">
        <v>96</v>
      </c>
      <c r="K984" s="2" t="s">
        <v>121</v>
      </c>
      <c r="L984" s="2" t="s">
        <v>24</v>
      </c>
      <c r="M984" s="2" t="s">
        <v>25</v>
      </c>
      <c r="N984" s="2" t="s">
        <v>26</v>
      </c>
      <c r="O984" s="2" t="s">
        <v>301</v>
      </c>
      <c r="P984" s="2" t="s">
        <v>28</v>
      </c>
      <c r="Q984" s="2" t="s">
        <v>133</v>
      </c>
    </row>
    <row r="985" spans="1:17">
      <c r="A985" s="2" t="s">
        <v>1324</v>
      </c>
      <c r="B985" s="2" t="str">
        <f>[1]Sheet1!M985</f>
        <v>男</v>
      </c>
      <c r="C985" s="3" t="str" cm="1">
        <f t="array" ref="C98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985" s="2" t="str">
        <f>MID([1]Sheet1!F985,FIND("(",[1]Sheet1!F985)+1,FIND("-",[1]Sheet1!F985)-FIND("(",[1]Sheet1!F985)-1)</f>
        <v>四川</v>
      </c>
      <c r="E985" s="2" t="str">
        <f>MID([1]Sheet1!F985,FIND("-",[1]Sheet1!F985)+1,FIND(")",[1]Sheet1!F985)-FIND("-",[1]Sheet1!F985)-1)</f>
        <v>成都</v>
      </c>
      <c r="F985" s="2" t="s">
        <v>31</v>
      </c>
      <c r="G985" s="2" t="s">
        <v>50</v>
      </c>
      <c r="H985" s="2" t="s">
        <v>66</v>
      </c>
      <c r="I985" s="2" t="s">
        <v>51</v>
      </c>
      <c r="J985" s="2" t="s">
        <v>56</v>
      </c>
      <c r="K985" s="2" t="s">
        <v>495</v>
      </c>
      <c r="L985" s="2" t="s">
        <v>24</v>
      </c>
      <c r="M985" s="2" t="s">
        <v>92</v>
      </c>
      <c r="N985" s="2" t="s">
        <v>46</v>
      </c>
      <c r="O985" s="2" t="s">
        <v>89</v>
      </c>
      <c r="P985" s="2" t="s">
        <v>28</v>
      </c>
      <c r="Q985" s="2" t="s">
        <v>75</v>
      </c>
    </row>
    <row r="986" spans="1:17">
      <c r="A986" s="2" t="s">
        <v>1325</v>
      </c>
      <c r="B986" s="2" t="str">
        <f>[1]Sheet1!M986</f>
        <v>男</v>
      </c>
      <c r="C986" s="3" t="str" cm="1">
        <f t="array" ref="C98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86" s="2" t="str">
        <f>MID([1]Sheet1!F986,FIND("(",[1]Sheet1!F986)+1,FIND("-",[1]Sheet1!F986)-FIND("(",[1]Sheet1!F986)-1)</f>
        <v>安徽</v>
      </c>
      <c r="E986" s="2" t="str">
        <f>MID([1]Sheet1!F986,FIND("-",[1]Sheet1!F986)+1,FIND(")",[1]Sheet1!F986)-FIND("-",[1]Sheet1!F986)-1)</f>
        <v>六安</v>
      </c>
      <c r="F986" s="2" t="s">
        <v>42</v>
      </c>
      <c r="G986" s="2" t="s">
        <v>81</v>
      </c>
      <c r="H986" s="2" t="s">
        <v>66</v>
      </c>
      <c r="I986" s="2" t="s">
        <v>51</v>
      </c>
      <c r="J986" s="2" t="s">
        <v>77</v>
      </c>
      <c r="K986" s="2" t="s">
        <v>121</v>
      </c>
      <c r="L986" s="2" t="s">
        <v>24</v>
      </c>
      <c r="M986" s="2" t="s">
        <v>36</v>
      </c>
      <c r="N986" s="2" t="s">
        <v>37</v>
      </c>
      <c r="O986" s="2" t="s">
        <v>97</v>
      </c>
      <c r="P986" s="2" t="s">
        <v>59</v>
      </c>
      <c r="Q986" s="2" t="s">
        <v>172</v>
      </c>
    </row>
    <row r="987" spans="1:17">
      <c r="A987" s="2" t="s">
        <v>1326</v>
      </c>
      <c r="B987" s="2" t="str">
        <f>[1]Sheet1!M987</f>
        <v>男</v>
      </c>
      <c r="C987" s="3" t="str" cm="1">
        <f t="array" ref="C98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87" s="2" t="str">
        <f>MID([1]Sheet1!F987,FIND("(",[1]Sheet1!F987)+1,FIND("-",[1]Sheet1!F987)-FIND("(",[1]Sheet1!F987)-1)</f>
        <v>湖南</v>
      </c>
      <c r="E987" s="2" t="str">
        <f>MID([1]Sheet1!F987,FIND("-",[1]Sheet1!F987)+1,FIND(")",[1]Sheet1!F987)-FIND("-",[1]Sheet1!F987)-1)</f>
        <v>邵阳</v>
      </c>
      <c r="F987" s="2" t="s">
        <v>31</v>
      </c>
      <c r="G987" s="2" t="s">
        <v>81</v>
      </c>
      <c r="H987" s="2" t="s">
        <v>66</v>
      </c>
      <c r="I987" s="2" t="s">
        <v>43</v>
      </c>
      <c r="J987" s="2" t="s">
        <v>96</v>
      </c>
      <c r="K987" s="2" t="s">
        <v>304</v>
      </c>
      <c r="L987" s="2" t="s">
        <v>24</v>
      </c>
      <c r="M987" s="2" t="s">
        <v>36</v>
      </c>
      <c r="N987" s="2" t="s">
        <v>37</v>
      </c>
      <c r="O987" s="2" t="s">
        <v>47</v>
      </c>
      <c r="P987" s="2" t="s">
        <v>28</v>
      </c>
      <c r="Q987" s="2" t="s">
        <v>356</v>
      </c>
    </row>
    <row r="988" spans="1:17">
      <c r="A988" s="2" t="s">
        <v>1327</v>
      </c>
      <c r="B988" s="2" t="str">
        <f>[1]Sheet1!M988</f>
        <v>男</v>
      </c>
      <c r="C988" s="3" t="str" cm="1">
        <f t="array" ref="C98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88" s="2" t="str">
        <f>MID([1]Sheet1!F988,FIND("(",[1]Sheet1!F988)+1,FIND("-",[1]Sheet1!F988)-FIND("(",[1]Sheet1!F988)-1)</f>
        <v>福建</v>
      </c>
      <c r="E988" s="2" t="str">
        <f>MID([1]Sheet1!F988,FIND("-",[1]Sheet1!F988)+1,FIND(")",[1]Sheet1!F988)-FIND("-",[1]Sheet1!F988)-1)</f>
        <v>厦门</v>
      </c>
      <c r="F988" s="2" t="s">
        <v>88</v>
      </c>
      <c r="G988" s="2" t="s">
        <v>19</v>
      </c>
      <c r="H988" s="2" t="s">
        <v>66</v>
      </c>
      <c r="I988" s="2" t="s">
        <v>73</v>
      </c>
      <c r="J988" s="2" t="s">
        <v>44</v>
      </c>
      <c r="K988" s="2" t="s">
        <v>115</v>
      </c>
      <c r="L988" s="2" t="s">
        <v>24</v>
      </c>
      <c r="M988" s="2" t="s">
        <v>36</v>
      </c>
      <c r="N988" s="2" t="s">
        <v>37</v>
      </c>
      <c r="O988" s="2" t="s">
        <v>97</v>
      </c>
      <c r="P988" s="2" t="s">
        <v>86</v>
      </c>
      <c r="Q988" s="2" t="s">
        <v>68</v>
      </c>
    </row>
    <row r="989" spans="1:17">
      <c r="A989" s="2" t="s">
        <v>1328</v>
      </c>
      <c r="B989" s="2" t="str">
        <f>[1]Sheet1!M989</f>
        <v>男</v>
      </c>
      <c r="C989" s="3" t="str" cm="1">
        <f t="array" ref="C98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989)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89" s="2" t="str">
        <f>MID([1]Sheet1!F989,FIND("(",[1]Sheet1!F989)+1,FIND("-",[1]Sheet1!F989)-FIND("(",[1]Sheet1!F989)-1)</f>
        <v>广西</v>
      </c>
      <c r="E989" s="2" t="str">
        <f>MID([1]Sheet1!F989,FIND("-",[1]Sheet1!F989)+1,FIND(")",[1]Sheet1!F989)-FIND("-",[1]Sheet1!F989)-1)</f>
        <v>梧州</v>
      </c>
      <c r="F989" s="2" t="s">
        <v>42</v>
      </c>
      <c r="G989" s="2" t="s">
        <v>50</v>
      </c>
      <c r="H989" s="2" t="s">
        <v>66</v>
      </c>
      <c r="I989" s="2" t="s">
        <v>43</v>
      </c>
      <c r="J989" s="2" t="s">
        <v>56</v>
      </c>
      <c r="K989" s="2" t="s">
        <v>115</v>
      </c>
      <c r="L989" s="2" t="s">
        <v>24</v>
      </c>
      <c r="M989" s="2" t="s">
        <v>78</v>
      </c>
      <c r="N989" s="2" t="s">
        <v>26</v>
      </c>
      <c r="O989" s="2" t="s">
        <v>89</v>
      </c>
      <c r="P989" s="2" t="s">
        <v>39</v>
      </c>
      <c r="Q989" s="2" t="s">
        <v>259</v>
      </c>
    </row>
    <row r="990" spans="1:17">
      <c r="A990" s="2" t="s">
        <v>1329</v>
      </c>
      <c r="B990" s="2" t="str">
        <f>[1]Sheet1!M990</f>
        <v>男</v>
      </c>
      <c r="C990" s="3" t="str" cm="1">
        <f t="array" ref="C99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90" s="2" t="str">
        <f>MID([1]Sheet1!F990,FIND("(",[1]Sheet1!F990)+1,FIND("-",[1]Sheet1!F990)-FIND("(",[1]Sheet1!F990)-1)</f>
        <v>湖南</v>
      </c>
      <c r="E990" s="2" t="str">
        <f>MID([1]Sheet1!F990,FIND("-",[1]Sheet1!F990)+1,FIND(")",[1]Sheet1!F990)-FIND("-",[1]Sheet1!F990)-1)</f>
        <v>长沙</v>
      </c>
      <c r="F990" s="2" t="s">
        <v>18</v>
      </c>
      <c r="G990" s="2" t="s">
        <v>32</v>
      </c>
      <c r="H990" s="2" t="s">
        <v>66</v>
      </c>
      <c r="I990" s="2" t="s">
        <v>73</v>
      </c>
      <c r="J990" s="2" t="s">
        <v>96</v>
      </c>
      <c r="K990" s="2" t="s">
        <v>169</v>
      </c>
      <c r="L990" s="2" t="s">
        <v>24</v>
      </c>
      <c r="M990" s="2" t="s">
        <v>25</v>
      </c>
      <c r="N990" s="2" t="s">
        <v>37</v>
      </c>
      <c r="O990" s="2" t="s">
        <v>301</v>
      </c>
      <c r="P990" s="2" t="s">
        <v>28</v>
      </c>
      <c r="Q990" s="2" t="s">
        <v>195</v>
      </c>
    </row>
    <row r="991" spans="1:17">
      <c r="A991" s="2" t="s">
        <v>1328</v>
      </c>
      <c r="B991" s="2" t="str">
        <f>[1]Sheet1!M991</f>
        <v>男</v>
      </c>
      <c r="C991" s="3" t="str" cm="1">
        <f t="array" ref="C99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91" s="2" t="str">
        <f>MID([1]Sheet1!F991,FIND("(",[1]Sheet1!F991)+1,FIND("-",[1]Sheet1!F991)-FIND("(",[1]Sheet1!F991)-1)</f>
        <v>广西</v>
      </c>
      <c r="E991" s="2" t="str">
        <f>MID([1]Sheet1!F991,FIND("-",[1]Sheet1!F991)+1,FIND(")",[1]Sheet1!F991)-FIND("-",[1]Sheet1!F991)-1)</f>
        <v>梧州</v>
      </c>
      <c r="F991" s="2" t="s">
        <v>42</v>
      </c>
      <c r="G991" s="2" t="s">
        <v>50</v>
      </c>
      <c r="H991" s="2" t="s">
        <v>66</v>
      </c>
      <c r="I991" s="2" t="s">
        <v>43</v>
      </c>
      <c r="J991" s="2" t="s">
        <v>56</v>
      </c>
      <c r="K991" s="2" t="s">
        <v>115</v>
      </c>
      <c r="L991" s="2" t="s">
        <v>24</v>
      </c>
      <c r="M991" s="2" t="s">
        <v>71</v>
      </c>
      <c r="N991" s="2" t="s">
        <v>26</v>
      </c>
      <c r="O991" s="2" t="s">
        <v>47</v>
      </c>
      <c r="P991" s="2" t="s">
        <v>179</v>
      </c>
      <c r="Q991" s="2" t="s">
        <v>298</v>
      </c>
    </row>
    <row r="992" spans="1:17">
      <c r="A992" s="2" t="s">
        <v>1330</v>
      </c>
      <c r="B992" s="2" t="str">
        <f>[1]Sheet1!M992</f>
        <v>男</v>
      </c>
      <c r="C992" s="3" t="str" cm="1">
        <f t="array" ref="C99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92" s="2" t="str">
        <f>MID([1]Sheet1!F992,FIND("(",[1]Sheet1!F992)+1,FIND("-",[1]Sheet1!F992)-FIND("(",[1]Sheet1!F992)-1)</f>
        <v>江苏</v>
      </c>
      <c r="E992" s="2" t="str">
        <f>MID([1]Sheet1!F992,FIND("-",[1]Sheet1!F992)+1,FIND(")",[1]Sheet1!F992)-FIND("-",[1]Sheet1!F992)-1)</f>
        <v>南京</v>
      </c>
      <c r="F992" s="2" t="s">
        <v>18</v>
      </c>
      <c r="G992" s="2" t="s">
        <v>32</v>
      </c>
      <c r="H992" s="2" t="s">
        <v>20</v>
      </c>
      <c r="I992" s="2" t="s">
        <v>21</v>
      </c>
      <c r="J992" s="2" t="s">
        <v>82</v>
      </c>
      <c r="K992" s="2" t="s">
        <v>115</v>
      </c>
      <c r="L992" s="2" t="s">
        <v>24</v>
      </c>
      <c r="M992" s="2" t="s">
        <v>71</v>
      </c>
      <c r="N992" s="2" t="s">
        <v>37</v>
      </c>
      <c r="O992" s="2" t="s">
        <v>89</v>
      </c>
      <c r="P992" s="2" t="s">
        <v>39</v>
      </c>
      <c r="Q992" s="2" t="s">
        <v>68</v>
      </c>
    </row>
    <row r="993" spans="1:17">
      <c r="A993" s="2" t="s">
        <v>1331</v>
      </c>
      <c r="B993" s="2" t="str">
        <f>[1]Sheet1!M993</f>
        <v>男</v>
      </c>
      <c r="C993" s="3" t="str" cm="1">
        <f t="array" ref="C99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93" s="2" t="str">
        <f>MID([1]Sheet1!F993,FIND("(",[1]Sheet1!F993)+1,FIND("-",[1]Sheet1!F993)-FIND("(",[1]Sheet1!F993)-1)</f>
        <v>河南</v>
      </c>
      <c r="E993" s="2" t="str">
        <f>MID([1]Sheet1!F993,FIND("-",[1]Sheet1!F993)+1,FIND(")",[1]Sheet1!F993)-FIND("-",[1]Sheet1!F993)-1)</f>
        <v>郑州</v>
      </c>
      <c r="F993" s="2" t="s">
        <v>42</v>
      </c>
      <c r="G993" s="2" t="s">
        <v>32</v>
      </c>
      <c r="H993" s="2" t="s">
        <v>33</v>
      </c>
      <c r="I993" s="2" t="s">
        <v>21</v>
      </c>
      <c r="J993" s="2" t="s">
        <v>82</v>
      </c>
      <c r="K993" s="2" t="s">
        <v>115</v>
      </c>
      <c r="L993" s="2" t="s">
        <v>24</v>
      </c>
      <c r="M993" s="2" t="s">
        <v>57</v>
      </c>
      <c r="N993" s="2" t="s">
        <v>46</v>
      </c>
      <c r="O993" s="2" t="s">
        <v>1128</v>
      </c>
      <c r="P993" s="2" t="s">
        <v>63</v>
      </c>
      <c r="Q993" s="2" t="s">
        <v>261</v>
      </c>
    </row>
    <row r="994" spans="1:17">
      <c r="A994" s="2" t="s">
        <v>1332</v>
      </c>
      <c r="B994" s="2" t="str">
        <f>[1]Sheet1!M994</f>
        <v>男</v>
      </c>
      <c r="C994" s="3" t="str" cm="1">
        <f t="array" ref="C99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94" s="2" t="str">
        <f>MID([1]Sheet1!F994,FIND("(",[1]Sheet1!F994)+1,FIND("-",[1]Sheet1!F994)-FIND("(",[1]Sheet1!F994)-1)</f>
        <v>江苏</v>
      </c>
      <c r="E994" s="2" t="str">
        <f>MID([1]Sheet1!F994,FIND("-",[1]Sheet1!F994)+1,FIND(")",[1]Sheet1!F994)-FIND("-",[1]Sheet1!F994)-1)</f>
        <v>南京</v>
      </c>
      <c r="F994" s="2" t="s">
        <v>88</v>
      </c>
      <c r="G994" s="2" t="s">
        <v>50</v>
      </c>
      <c r="H994" s="2" t="s">
        <v>20</v>
      </c>
      <c r="I994" s="2" t="s">
        <v>21</v>
      </c>
      <c r="J994" s="2" t="s">
        <v>77</v>
      </c>
      <c r="K994" s="2" t="s">
        <v>121</v>
      </c>
      <c r="L994" s="2" t="s">
        <v>83</v>
      </c>
      <c r="M994" s="2" t="s">
        <v>84</v>
      </c>
      <c r="N994" s="2" t="s">
        <v>37</v>
      </c>
      <c r="O994" s="2" t="s">
        <v>202</v>
      </c>
      <c r="P994" s="2" t="s">
        <v>39</v>
      </c>
      <c r="Q994" s="2" t="s">
        <v>1333</v>
      </c>
    </row>
    <row r="995" spans="1:17">
      <c r="A995" s="2" t="s">
        <v>1334</v>
      </c>
      <c r="B995" s="2" t="str">
        <f>[1]Sheet1!M995</f>
        <v>男</v>
      </c>
      <c r="C995" s="3" t="str" cm="1">
        <f t="array" ref="C99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995" s="2" t="str">
        <f>MID([1]Sheet1!F995,FIND("(",[1]Sheet1!F995)+1,FIND("-",[1]Sheet1!F995)-FIND("(",[1]Sheet1!F995)-1)</f>
        <v>湖北</v>
      </c>
      <c r="E995" s="2" t="str">
        <f>MID([1]Sheet1!F995,FIND("-",[1]Sheet1!F995)+1,FIND(")",[1]Sheet1!F995)-FIND("-",[1]Sheet1!F995)-1)</f>
        <v>武汉</v>
      </c>
      <c r="F995" s="2" t="s">
        <v>88</v>
      </c>
      <c r="G995" s="2" t="s">
        <v>50</v>
      </c>
      <c r="H995" s="2" t="s">
        <v>66</v>
      </c>
      <c r="I995" s="2" t="s">
        <v>34</v>
      </c>
      <c r="J995" s="2" t="s">
        <v>35</v>
      </c>
      <c r="K995" s="2" t="s">
        <v>121</v>
      </c>
      <c r="L995" s="2" t="s">
        <v>24</v>
      </c>
      <c r="M995" s="2" t="s">
        <v>25</v>
      </c>
      <c r="N995" s="2" t="s">
        <v>37</v>
      </c>
      <c r="O995" s="2" t="s">
        <v>47</v>
      </c>
      <c r="P995" s="2" t="s">
        <v>28</v>
      </c>
      <c r="Q995" s="2" t="s">
        <v>200</v>
      </c>
    </row>
    <row r="996" spans="1:17">
      <c r="A996" s="2" t="s">
        <v>1335</v>
      </c>
      <c r="B996" s="2" t="str">
        <f>[1]Sheet1!M996</f>
        <v>男</v>
      </c>
      <c r="C996" s="3" t="str" cm="1">
        <f t="array" ref="C99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996" s="2" t="str">
        <f>MID([1]Sheet1!F996,FIND("(",[1]Sheet1!F996)+1,FIND("-",[1]Sheet1!F996)-FIND("(",[1]Sheet1!F996)-1)</f>
        <v>山东</v>
      </c>
      <c r="E996" s="2" t="str">
        <f>MID([1]Sheet1!F996,FIND("-",[1]Sheet1!F996)+1,FIND(")",[1]Sheet1!F996)-FIND("-",[1]Sheet1!F996)-1)</f>
        <v>聊城</v>
      </c>
      <c r="F996" s="2" t="s">
        <v>70</v>
      </c>
      <c r="G996" s="2" t="s">
        <v>32</v>
      </c>
      <c r="H996" s="2" t="s">
        <v>33</v>
      </c>
      <c r="I996" s="2" t="s">
        <v>21</v>
      </c>
      <c r="J996" s="2" t="s">
        <v>82</v>
      </c>
      <c r="K996" s="2" t="s">
        <v>1005</v>
      </c>
      <c r="L996" s="2" t="s">
        <v>83</v>
      </c>
      <c r="M996" s="2" t="s">
        <v>71</v>
      </c>
      <c r="N996" s="2" t="s">
        <v>37</v>
      </c>
      <c r="O996" s="2" t="s">
        <v>204</v>
      </c>
      <c r="P996" s="2" t="s">
        <v>28</v>
      </c>
      <c r="Q996" s="2" t="s">
        <v>1336</v>
      </c>
    </row>
    <row r="997" spans="1:17">
      <c r="A997" s="2" t="s">
        <v>1337</v>
      </c>
      <c r="B997" s="2" t="str">
        <f>[1]Sheet1!M997</f>
        <v>男</v>
      </c>
      <c r="C997" s="3" t="str" cm="1">
        <f t="array" ref="C99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97" s="2" t="str">
        <f>MID([1]Sheet1!F997,FIND("(",[1]Sheet1!F997)+1,FIND("-",[1]Sheet1!F997)-FIND("(",[1]Sheet1!F997)-1)</f>
        <v>浙江</v>
      </c>
      <c r="E997" s="2" t="str">
        <f>MID([1]Sheet1!F997,FIND("-",[1]Sheet1!F997)+1,FIND(")",[1]Sheet1!F997)-FIND("-",[1]Sheet1!F997)-1)</f>
        <v>嘉兴</v>
      </c>
      <c r="F997" s="2" t="s">
        <v>31</v>
      </c>
      <c r="G997" s="2" t="s">
        <v>32</v>
      </c>
      <c r="H997" s="2" t="s">
        <v>66</v>
      </c>
      <c r="I997" s="2" t="s">
        <v>34</v>
      </c>
      <c r="J997" s="2" t="s">
        <v>44</v>
      </c>
      <c r="K997" s="2" t="s">
        <v>117</v>
      </c>
      <c r="L997" s="2" t="s">
        <v>24</v>
      </c>
      <c r="M997" s="2" t="s">
        <v>126</v>
      </c>
      <c r="N997" s="2" t="s">
        <v>46</v>
      </c>
      <c r="O997" s="2" t="s">
        <v>58</v>
      </c>
      <c r="P997" s="2" t="s">
        <v>39</v>
      </c>
      <c r="Q997" s="2" t="s">
        <v>172</v>
      </c>
    </row>
    <row r="998" spans="1:17">
      <c r="A998" s="2" t="s">
        <v>1338</v>
      </c>
      <c r="B998" s="2" t="str">
        <f>[1]Sheet1!M998</f>
        <v>男</v>
      </c>
      <c r="C998" s="3" t="str" cm="1">
        <f t="array" ref="C99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998" s="2" t="str">
        <f>MID([1]Sheet1!F998,FIND("(",[1]Sheet1!F998)+1,FIND("-",[1]Sheet1!F998)-FIND("(",[1]Sheet1!F998)-1)</f>
        <v>海南</v>
      </c>
      <c r="E998" s="2" t="str">
        <f>MID([1]Sheet1!F998,FIND("-",[1]Sheet1!F998)+1,FIND(")",[1]Sheet1!F998)-FIND("-",[1]Sheet1!F998)-1)</f>
        <v>三亚</v>
      </c>
      <c r="F998" s="2" t="s">
        <v>88</v>
      </c>
      <c r="G998" s="2" t="s">
        <v>50</v>
      </c>
      <c r="H998" s="2" t="s">
        <v>20</v>
      </c>
      <c r="I998" s="2" t="s">
        <v>51</v>
      </c>
      <c r="J998" s="2" t="s">
        <v>82</v>
      </c>
      <c r="K998" s="2" t="s">
        <v>117</v>
      </c>
      <c r="L998" s="2" t="s">
        <v>24</v>
      </c>
      <c r="M998" s="2" t="s">
        <v>126</v>
      </c>
      <c r="N998" s="2" t="s">
        <v>26</v>
      </c>
      <c r="O998" s="2" t="s">
        <v>47</v>
      </c>
      <c r="P998" s="2" t="s">
        <v>59</v>
      </c>
      <c r="Q998" s="2" t="s">
        <v>1339</v>
      </c>
    </row>
    <row r="999" spans="1:17">
      <c r="A999" s="2" t="s">
        <v>1340</v>
      </c>
      <c r="B999" s="2" t="str">
        <f>[1]Sheet1!M999</f>
        <v>男</v>
      </c>
      <c r="C999" s="3" t="str" cm="1">
        <f t="array" ref="C99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999)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999" s="2" t="str">
        <f>MID([1]Sheet1!F999,FIND("(",[1]Sheet1!F999)+1,FIND("-",[1]Sheet1!F999)-FIND("(",[1]Sheet1!F999)-1)</f>
        <v>福建</v>
      </c>
      <c r="E999" s="2" t="str">
        <f>MID([1]Sheet1!F999,FIND("-",[1]Sheet1!F999)+1,FIND(")",[1]Sheet1!F999)-FIND("-",[1]Sheet1!F999)-1)</f>
        <v>泉州</v>
      </c>
      <c r="F999" s="2" t="s">
        <v>42</v>
      </c>
      <c r="G999" s="2" t="s">
        <v>19</v>
      </c>
      <c r="H999" s="2" t="s">
        <v>20</v>
      </c>
      <c r="I999" s="2" t="s">
        <v>21</v>
      </c>
      <c r="J999" s="2" t="s">
        <v>56</v>
      </c>
      <c r="K999" s="2" t="s">
        <v>117</v>
      </c>
      <c r="L999" s="2" t="s">
        <v>24</v>
      </c>
      <c r="M999" s="2" t="s">
        <v>92</v>
      </c>
      <c r="N999" s="2" t="s">
        <v>37</v>
      </c>
      <c r="O999" s="2" t="s">
        <v>47</v>
      </c>
      <c r="P999" s="2" t="s">
        <v>86</v>
      </c>
      <c r="Q999" s="2" t="s">
        <v>60</v>
      </c>
    </row>
    <row r="1000" spans="1:17">
      <c r="A1000" s="2" t="s">
        <v>1341</v>
      </c>
      <c r="B1000" s="2" t="str">
        <f>[1]Sheet1!M1000</f>
        <v>男</v>
      </c>
      <c r="C1000" s="3" t="str" cm="1">
        <f t="array" ref="C100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000" s="2" t="str">
        <f>MID([1]Sheet1!F1000,FIND("(",[1]Sheet1!F1000)+1,FIND("-",[1]Sheet1!F1000)-FIND("(",[1]Sheet1!F1000)-1)</f>
        <v>陕西</v>
      </c>
      <c r="E1000" s="2" t="str">
        <f>MID([1]Sheet1!F1000,FIND("-",[1]Sheet1!F1000)+1,FIND(")",[1]Sheet1!F1000)-FIND("-",[1]Sheet1!F1000)-1)</f>
        <v>咸阳</v>
      </c>
      <c r="F1000" s="2" t="s">
        <v>18</v>
      </c>
      <c r="G1000" s="2" t="s">
        <v>19</v>
      </c>
      <c r="H1000" s="2" t="s">
        <v>20</v>
      </c>
      <c r="I1000" s="2" t="s">
        <v>51</v>
      </c>
      <c r="J1000" s="2" t="s">
        <v>82</v>
      </c>
      <c r="K1000" s="2" t="s">
        <v>130</v>
      </c>
      <c r="L1000" s="2" t="s">
        <v>83</v>
      </c>
      <c r="M1000" s="2" t="s">
        <v>448</v>
      </c>
      <c r="N1000" s="2" t="s">
        <v>37</v>
      </c>
      <c r="O1000" s="2" t="s">
        <v>1342</v>
      </c>
      <c r="P1000" s="2" t="s">
        <v>39</v>
      </c>
      <c r="Q1000" s="2" t="s">
        <v>75</v>
      </c>
    </row>
    <row r="1001" spans="1:17">
      <c r="A1001" s="2" t="s">
        <v>1343</v>
      </c>
      <c r="B1001" s="2" t="str">
        <f>[1]Sheet1!M1001</f>
        <v>男</v>
      </c>
      <c r="C1001" s="3" t="str" cm="1">
        <f t="array" ref="C100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01" s="2" t="str">
        <f>MID([1]Sheet1!F1001,FIND("(",[1]Sheet1!F1001)+1,FIND("-",[1]Sheet1!F1001)-FIND("(",[1]Sheet1!F1001)-1)</f>
        <v>江苏</v>
      </c>
      <c r="E1001" s="2" t="str">
        <f>MID([1]Sheet1!F1001,FIND("-",[1]Sheet1!F1001)+1,FIND(")",[1]Sheet1!F1001)-FIND("-",[1]Sheet1!F1001)-1)</f>
        <v>连云港</v>
      </c>
      <c r="F1001" s="2" t="s">
        <v>31</v>
      </c>
      <c r="G1001" s="2" t="s">
        <v>32</v>
      </c>
      <c r="H1001" s="2" t="s">
        <v>66</v>
      </c>
      <c r="I1001" s="2" t="s">
        <v>51</v>
      </c>
      <c r="J1001" s="2" t="s">
        <v>56</v>
      </c>
      <c r="K1001" s="2" t="s">
        <v>130</v>
      </c>
      <c r="L1001" s="2" t="s">
        <v>83</v>
      </c>
      <c r="M1001" s="2" t="s">
        <v>36</v>
      </c>
      <c r="N1001" s="2" t="s">
        <v>37</v>
      </c>
      <c r="O1001" s="2" t="s">
        <v>181</v>
      </c>
      <c r="P1001" s="2" t="s">
        <v>39</v>
      </c>
      <c r="Q1001" s="2" t="s">
        <v>40</v>
      </c>
    </row>
    <row r="1002" spans="1:17">
      <c r="A1002" s="2" t="s">
        <v>1344</v>
      </c>
      <c r="B1002" s="2" t="str">
        <f>[1]Sheet1!M1002</f>
        <v>男</v>
      </c>
      <c r="C1002" s="3" t="str" cm="1">
        <f t="array" ref="C100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02" s="2" t="str">
        <f>MID([1]Sheet1!F1002,FIND("(",[1]Sheet1!F1002)+1,FIND("-",[1]Sheet1!F1002)-FIND("(",[1]Sheet1!F1002)-1)</f>
        <v>河北</v>
      </c>
      <c r="E1002" s="2" t="str">
        <f>MID([1]Sheet1!F1002,FIND("-",[1]Sheet1!F1002)+1,FIND(")",[1]Sheet1!F1002)-FIND("-",[1]Sheet1!F1002)-1)</f>
        <v>石家庄</v>
      </c>
      <c r="F1002" s="2" t="s">
        <v>18</v>
      </c>
      <c r="G1002" s="2" t="s">
        <v>114</v>
      </c>
      <c r="H1002" s="2" t="s">
        <v>20</v>
      </c>
      <c r="I1002" s="2" t="s">
        <v>51</v>
      </c>
      <c r="J1002" s="2" t="s">
        <v>56</v>
      </c>
      <c r="K1002" s="2" t="s">
        <v>240</v>
      </c>
      <c r="L1002" s="2" t="s">
        <v>24</v>
      </c>
      <c r="M1002" s="2" t="s">
        <v>681</v>
      </c>
      <c r="N1002" s="2" t="s">
        <v>37</v>
      </c>
      <c r="O1002" s="2" t="s">
        <v>27</v>
      </c>
      <c r="P1002" s="2" t="s">
        <v>39</v>
      </c>
      <c r="Q1002" s="2" t="s">
        <v>150</v>
      </c>
    </row>
    <row r="1003" spans="1:17">
      <c r="A1003" s="2" t="s">
        <v>1345</v>
      </c>
      <c r="B1003" s="2" t="str">
        <f>[1]Sheet1!M1003</f>
        <v>男</v>
      </c>
      <c r="C1003" s="3" t="str" cm="1">
        <f t="array" ref="C100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03" s="2" t="str">
        <f>MID([1]Sheet1!F1003,FIND("(",[1]Sheet1!F1003)+1,FIND("-",[1]Sheet1!F1003)-FIND("(",[1]Sheet1!F1003)-1)</f>
        <v>江苏</v>
      </c>
      <c r="E1003" s="2" t="str">
        <f>MID([1]Sheet1!F1003,FIND("-",[1]Sheet1!F1003)+1,FIND(")",[1]Sheet1!F1003)-FIND("-",[1]Sheet1!F1003)-1)</f>
        <v>扬州</v>
      </c>
      <c r="F1003" s="2" t="s">
        <v>42</v>
      </c>
      <c r="G1003" s="2" t="s">
        <v>81</v>
      </c>
      <c r="H1003" s="2" t="s">
        <v>55</v>
      </c>
      <c r="I1003" s="2" t="s">
        <v>34</v>
      </c>
      <c r="J1003" s="2" t="s">
        <v>56</v>
      </c>
      <c r="K1003" s="2" t="s">
        <v>130</v>
      </c>
      <c r="L1003" s="2" t="s">
        <v>24</v>
      </c>
      <c r="M1003" s="2" t="s">
        <v>36</v>
      </c>
      <c r="N1003" s="2" t="s">
        <v>37</v>
      </c>
      <c r="O1003" s="2" t="s">
        <v>89</v>
      </c>
      <c r="P1003" s="2" t="s">
        <v>28</v>
      </c>
      <c r="Q1003" s="2" t="s">
        <v>166</v>
      </c>
    </row>
    <row r="1004" spans="1:17">
      <c r="A1004" s="2" t="s">
        <v>1346</v>
      </c>
      <c r="B1004" s="2" t="str">
        <f>[1]Sheet1!M1004</f>
        <v>女</v>
      </c>
      <c r="C1004" s="3" t="str" cm="1">
        <f t="array" ref="C100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04" s="2" t="str">
        <f>MID([1]Sheet1!F1004,FIND("(",[1]Sheet1!F1004)+1,FIND("-",[1]Sheet1!F1004)-FIND("(",[1]Sheet1!F1004)-1)</f>
        <v>山西</v>
      </c>
      <c r="E1004" s="2" t="str">
        <f>MID([1]Sheet1!F1004,FIND("-",[1]Sheet1!F1004)+1,FIND(")",[1]Sheet1!F1004)-FIND("-",[1]Sheet1!F1004)-1)</f>
        <v>太原</v>
      </c>
      <c r="F1004" s="2" t="s">
        <v>42</v>
      </c>
      <c r="G1004" s="2" t="s">
        <v>50</v>
      </c>
      <c r="H1004" s="2" t="s">
        <v>66</v>
      </c>
      <c r="I1004" s="2" t="s">
        <v>34</v>
      </c>
      <c r="J1004" s="2" t="s">
        <v>56</v>
      </c>
      <c r="K1004" s="2" t="s">
        <v>240</v>
      </c>
      <c r="L1004" s="2" t="s">
        <v>24</v>
      </c>
      <c r="M1004" s="2" t="s">
        <v>126</v>
      </c>
      <c r="N1004" s="2" t="s">
        <v>37</v>
      </c>
      <c r="O1004" s="2" t="s">
        <v>47</v>
      </c>
      <c r="P1004" s="2" t="s">
        <v>175</v>
      </c>
      <c r="Q1004" s="2" t="s">
        <v>75</v>
      </c>
    </row>
    <row r="1005" spans="1:17">
      <c r="A1005" s="2" t="s">
        <v>1347</v>
      </c>
      <c r="B1005" s="2" t="str">
        <f>[1]Sheet1!M1005</f>
        <v>女</v>
      </c>
      <c r="C1005" s="3" t="str" cm="1">
        <f t="array" ref="C100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005" s="2" t="str">
        <f>MID([1]Sheet1!F1005,FIND("(",[1]Sheet1!F1005)+1,FIND("-",[1]Sheet1!F1005)-FIND("(",[1]Sheet1!F1005)-1)</f>
        <v>青海</v>
      </c>
      <c r="E1005" s="2" t="str">
        <f>MID([1]Sheet1!F1005,FIND("-",[1]Sheet1!F1005)+1,FIND(")",[1]Sheet1!F1005)-FIND("-",[1]Sheet1!F1005)-1)</f>
        <v>海北</v>
      </c>
      <c r="F1005" s="2" t="s">
        <v>42</v>
      </c>
      <c r="G1005" s="2" t="s">
        <v>32</v>
      </c>
      <c r="H1005" s="2" t="s">
        <v>66</v>
      </c>
      <c r="I1005" s="2" t="s">
        <v>21</v>
      </c>
      <c r="J1005" s="2" t="s">
        <v>56</v>
      </c>
      <c r="K1005" s="2" t="s">
        <v>537</v>
      </c>
      <c r="L1005" s="2" t="s">
        <v>83</v>
      </c>
      <c r="M1005" s="2" t="s">
        <v>71</v>
      </c>
      <c r="N1005" s="2" t="s">
        <v>37</v>
      </c>
      <c r="O1005" s="2" t="s">
        <v>422</v>
      </c>
      <c r="P1005" s="2" t="s">
        <v>59</v>
      </c>
      <c r="Q1005" s="2" t="s">
        <v>328</v>
      </c>
    </row>
    <row r="1006" spans="1:17">
      <c r="A1006" s="2" t="s">
        <v>1348</v>
      </c>
      <c r="B1006" s="2" t="str">
        <f>[1]Sheet1!M1006</f>
        <v>男</v>
      </c>
      <c r="C1006" s="3" t="str" cm="1">
        <f t="array" ref="C100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06" s="2" t="str">
        <f>MID([1]Sheet1!F1006,FIND("(",[1]Sheet1!F1006)+1,FIND("-",[1]Sheet1!F1006)-FIND("(",[1]Sheet1!F1006)-1)</f>
        <v>山东</v>
      </c>
      <c r="E1006" s="2" t="str">
        <f>MID([1]Sheet1!F1006,FIND("-",[1]Sheet1!F1006)+1,FIND(")",[1]Sheet1!F1006)-FIND("-",[1]Sheet1!F1006)-1)</f>
        <v>临沂</v>
      </c>
      <c r="F1006" s="2" t="s">
        <v>159</v>
      </c>
      <c r="G1006" s="2" t="s">
        <v>81</v>
      </c>
      <c r="H1006" s="2" t="s">
        <v>66</v>
      </c>
      <c r="I1006" s="2" t="s">
        <v>43</v>
      </c>
      <c r="J1006" s="2" t="s">
        <v>82</v>
      </c>
      <c r="K1006" s="2" t="s">
        <v>117</v>
      </c>
      <c r="L1006" s="2" t="s">
        <v>24</v>
      </c>
      <c r="M1006" s="2" t="s">
        <v>84</v>
      </c>
      <c r="N1006" s="2" t="s">
        <v>26</v>
      </c>
      <c r="O1006" s="2" t="s">
        <v>47</v>
      </c>
      <c r="P1006" s="2" t="s">
        <v>39</v>
      </c>
      <c r="Q1006" s="2" t="s">
        <v>1286</v>
      </c>
    </row>
    <row r="1007" spans="1:17">
      <c r="A1007" s="2" t="s">
        <v>1349</v>
      </c>
      <c r="B1007" s="2" t="str">
        <f>[1]Sheet1!M1007</f>
        <v>男</v>
      </c>
      <c r="C1007" s="3" t="str" cm="1">
        <f t="array" ref="C100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007" s="2" t="str">
        <f>MID([1]Sheet1!F1007,FIND("(",[1]Sheet1!F1007)+1,FIND("-",[1]Sheet1!F1007)-FIND("(",[1]Sheet1!F1007)-1)</f>
        <v>四川</v>
      </c>
      <c r="E1007" s="2" t="str">
        <f>MID([1]Sheet1!F1007,FIND("-",[1]Sheet1!F1007)+1,FIND(")",[1]Sheet1!F1007)-FIND("-",[1]Sheet1!F1007)-1)</f>
        <v>南充</v>
      </c>
      <c r="F1007" s="2" t="s">
        <v>70</v>
      </c>
      <c r="G1007" s="2" t="s">
        <v>50</v>
      </c>
      <c r="H1007" s="2" t="s">
        <v>20</v>
      </c>
      <c r="I1007" s="2" t="s">
        <v>51</v>
      </c>
      <c r="J1007" s="2" t="s">
        <v>82</v>
      </c>
      <c r="K1007" s="2" t="s">
        <v>130</v>
      </c>
      <c r="L1007" s="2" t="s">
        <v>24</v>
      </c>
      <c r="M1007" s="2" t="s">
        <v>111</v>
      </c>
      <c r="N1007" s="2" t="s">
        <v>85</v>
      </c>
      <c r="O1007" s="2" t="s">
        <v>74</v>
      </c>
      <c r="P1007" s="2" t="s">
        <v>39</v>
      </c>
      <c r="Q1007" s="2" t="s">
        <v>339</v>
      </c>
    </row>
    <row r="1008" spans="1:17">
      <c r="A1008" s="2" t="s">
        <v>1350</v>
      </c>
      <c r="B1008" s="2" t="str">
        <f>[1]Sheet1!M1008</f>
        <v>男</v>
      </c>
      <c r="C1008" s="3" t="str" cm="1">
        <f t="array" ref="C100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08" s="2" t="str">
        <f>MID([1]Sheet1!F1008,FIND("(",[1]Sheet1!F1008)+1,FIND("-",[1]Sheet1!F1008)-FIND("(",[1]Sheet1!F1008)-1)</f>
        <v>福建</v>
      </c>
      <c r="E1008" s="2" t="str">
        <f>MID([1]Sheet1!F1008,FIND("-",[1]Sheet1!F1008)+1,FIND(")",[1]Sheet1!F1008)-FIND("-",[1]Sheet1!F1008)-1)</f>
        <v>福州</v>
      </c>
      <c r="F1008" s="2" t="s">
        <v>159</v>
      </c>
      <c r="G1008" s="2" t="s">
        <v>50</v>
      </c>
      <c r="H1008" s="2" t="s">
        <v>66</v>
      </c>
      <c r="I1008" s="2" t="s">
        <v>34</v>
      </c>
      <c r="J1008" s="2" t="s">
        <v>82</v>
      </c>
      <c r="K1008" s="2" t="s">
        <v>117</v>
      </c>
      <c r="L1008" s="2" t="s">
        <v>24</v>
      </c>
      <c r="M1008" s="2" t="s">
        <v>126</v>
      </c>
      <c r="N1008" s="2" t="s">
        <v>37</v>
      </c>
      <c r="O1008" s="2" t="s">
        <v>316</v>
      </c>
      <c r="P1008" s="2" t="s">
        <v>63</v>
      </c>
      <c r="Q1008" s="2" t="s">
        <v>1351</v>
      </c>
    </row>
    <row r="1009" spans="1:17">
      <c r="A1009" s="2" t="s">
        <v>1352</v>
      </c>
      <c r="B1009" s="2" t="str">
        <f>[1]Sheet1!M1009</f>
        <v>男</v>
      </c>
      <c r="C1009" s="3" t="str" cm="1">
        <f t="array" ref="C100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1009)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09" s="2" t="str">
        <f>MID([1]Sheet1!F1009,FIND("(",[1]Sheet1!F1009)+1,FIND("-",[1]Sheet1!F1009)-FIND("(",[1]Sheet1!F1009)-1)</f>
        <v>江西</v>
      </c>
      <c r="E1009" s="2" t="str">
        <f>MID([1]Sheet1!F1009,FIND("-",[1]Sheet1!F1009)+1,FIND(")",[1]Sheet1!F1009)-FIND("-",[1]Sheet1!F1009)-1)</f>
        <v>赣州</v>
      </c>
      <c r="F1009" s="2" t="s">
        <v>31</v>
      </c>
      <c r="G1009" s="2" t="s">
        <v>81</v>
      </c>
      <c r="H1009" s="2" t="s">
        <v>66</v>
      </c>
      <c r="I1009" s="2" t="s">
        <v>120</v>
      </c>
      <c r="J1009" s="2" t="s">
        <v>56</v>
      </c>
      <c r="K1009" s="2" t="s">
        <v>115</v>
      </c>
      <c r="L1009" s="2" t="s">
        <v>24</v>
      </c>
      <c r="M1009" s="2" t="s">
        <v>36</v>
      </c>
      <c r="N1009" s="2" t="s">
        <v>37</v>
      </c>
      <c r="O1009" s="2" t="s">
        <v>204</v>
      </c>
      <c r="P1009" s="2" t="s">
        <v>39</v>
      </c>
      <c r="Q1009" s="2" t="s">
        <v>200</v>
      </c>
    </row>
    <row r="1010" spans="1:17">
      <c r="A1010" s="2" t="s">
        <v>1353</v>
      </c>
      <c r="B1010" s="2" t="str">
        <f>[1]Sheet1!M1010</f>
        <v>男</v>
      </c>
      <c r="C1010" s="3" t="str" cm="1">
        <f t="array" ref="C101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10" s="2" t="str">
        <f>MID([1]Sheet1!F1010,FIND("(",[1]Sheet1!F1010)+1,FIND("-",[1]Sheet1!F1010)-FIND("(",[1]Sheet1!F1010)-1)</f>
        <v>江西</v>
      </c>
      <c r="E1010" s="2" t="str">
        <f>MID([1]Sheet1!F1010,FIND("-",[1]Sheet1!F1010)+1,FIND(")",[1]Sheet1!F1010)-FIND("-",[1]Sheet1!F1010)-1)</f>
        <v>景德镇</v>
      </c>
      <c r="F1010" s="2" t="s">
        <v>42</v>
      </c>
      <c r="G1010" s="2" t="s">
        <v>81</v>
      </c>
      <c r="H1010" s="2" t="s">
        <v>66</v>
      </c>
      <c r="I1010" s="2" t="s">
        <v>120</v>
      </c>
      <c r="J1010" s="2" t="s">
        <v>35</v>
      </c>
      <c r="K1010" s="2" t="s">
        <v>115</v>
      </c>
      <c r="L1010" s="2" t="s">
        <v>24</v>
      </c>
      <c r="M1010" s="2" t="s">
        <v>36</v>
      </c>
      <c r="N1010" s="2" t="s">
        <v>46</v>
      </c>
      <c r="O1010" s="2" t="s">
        <v>58</v>
      </c>
      <c r="P1010" s="2" t="s">
        <v>63</v>
      </c>
      <c r="Q1010" s="2" t="s">
        <v>60</v>
      </c>
    </row>
    <row r="1011" spans="1:17">
      <c r="A1011" s="2" t="s">
        <v>1354</v>
      </c>
      <c r="B1011" s="2" t="str">
        <f>[1]Sheet1!M1011</f>
        <v>男</v>
      </c>
      <c r="C1011" s="3" t="str" cm="1">
        <f t="array" ref="C101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11" s="2" t="str">
        <f>MID([1]Sheet1!F1011,FIND("(",[1]Sheet1!F1011)+1,FIND("-",[1]Sheet1!F1011)-FIND("(",[1]Sheet1!F1011)-1)</f>
        <v>江西</v>
      </c>
      <c r="E1011" s="2" t="str">
        <f>MID([1]Sheet1!F1011,FIND("-",[1]Sheet1!F1011)+1,FIND(")",[1]Sheet1!F1011)-FIND("-",[1]Sheet1!F1011)-1)</f>
        <v>景德镇</v>
      </c>
      <c r="F1011" s="2" t="s">
        <v>31</v>
      </c>
      <c r="G1011" s="2" t="s">
        <v>81</v>
      </c>
      <c r="H1011" s="2" t="s">
        <v>66</v>
      </c>
      <c r="I1011" s="2" t="s">
        <v>73</v>
      </c>
      <c r="J1011" s="2" t="s">
        <v>56</v>
      </c>
      <c r="K1011" s="2" t="s">
        <v>117</v>
      </c>
      <c r="L1011" s="2" t="s">
        <v>83</v>
      </c>
      <c r="M1011" s="2" t="s">
        <v>25</v>
      </c>
      <c r="N1011" s="2" t="s">
        <v>37</v>
      </c>
      <c r="O1011" s="2" t="s">
        <v>58</v>
      </c>
      <c r="P1011" s="2" t="s">
        <v>63</v>
      </c>
      <c r="Q1011" s="2" t="s">
        <v>1355</v>
      </c>
    </row>
    <row r="1012" spans="1:17">
      <c r="A1012" s="2" t="s">
        <v>1356</v>
      </c>
      <c r="B1012" s="2" t="str">
        <f>[1]Sheet1!M1012</f>
        <v>男</v>
      </c>
      <c r="C1012" s="3" t="str" cm="1">
        <f t="array" ref="C101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12" s="2" t="str">
        <f>MID([1]Sheet1!F1012,FIND("(",[1]Sheet1!F1012)+1,FIND("-",[1]Sheet1!F1012)-FIND("(",[1]Sheet1!F1012)-1)</f>
        <v>天津</v>
      </c>
      <c r="E1012" s="2" t="str">
        <f>MID([1]Sheet1!F1012,FIND("-",[1]Sheet1!F1012)+1,FIND(")",[1]Sheet1!F1012)-FIND("-",[1]Sheet1!F1012)-1)</f>
        <v>天津</v>
      </c>
      <c r="F1012" s="2" t="s">
        <v>70</v>
      </c>
      <c r="G1012" s="2" t="s">
        <v>114</v>
      </c>
      <c r="H1012" s="2" t="s">
        <v>66</v>
      </c>
      <c r="I1012" s="2" t="s">
        <v>51</v>
      </c>
      <c r="J1012" s="2" t="s">
        <v>96</v>
      </c>
      <c r="K1012" s="2" t="s">
        <v>121</v>
      </c>
      <c r="L1012" s="2" t="s">
        <v>83</v>
      </c>
      <c r="M1012" s="2" t="s">
        <v>57</v>
      </c>
      <c r="N1012" s="2" t="s">
        <v>37</v>
      </c>
      <c r="O1012" s="2" t="s">
        <v>89</v>
      </c>
      <c r="P1012" s="2" t="s">
        <v>39</v>
      </c>
      <c r="Q1012" s="2" t="s">
        <v>1357</v>
      </c>
    </row>
    <row r="1013" spans="1:17">
      <c r="A1013" s="2" t="s">
        <v>1358</v>
      </c>
      <c r="B1013" s="2" t="str">
        <f>[1]Sheet1!M1013</f>
        <v>男</v>
      </c>
      <c r="C1013" s="3" t="str" cm="1">
        <f t="array" ref="C101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华北</v>
      </c>
      <c r="D1013" s="2" t="str">
        <f>MID([1]Sheet1!F1013,FIND("(",[1]Sheet1!F1013)+1,FIND("-",[1]Sheet1!F1013)-FIND("(",[1]Sheet1!F1013)-1)</f>
        <v>天津</v>
      </c>
      <c r="E1013" s="2" t="str">
        <f>MID([1]Sheet1!F1013,FIND("-",[1]Sheet1!F1013)+1,FIND(")",[1]Sheet1!F1013)-FIND("-",[1]Sheet1!F1013)-1)</f>
        <v>天津</v>
      </c>
      <c r="F1013" s="2" t="s">
        <v>159</v>
      </c>
      <c r="G1013" s="2" t="s">
        <v>50</v>
      </c>
      <c r="H1013" s="2" t="s">
        <v>66</v>
      </c>
      <c r="I1013" s="2" t="s">
        <v>51</v>
      </c>
      <c r="J1013" s="2" t="s">
        <v>82</v>
      </c>
      <c r="K1013" s="2" t="s">
        <v>115</v>
      </c>
      <c r="L1013" s="2" t="s">
        <v>83</v>
      </c>
      <c r="M1013" s="2" t="s">
        <v>36</v>
      </c>
      <c r="N1013" s="2" t="s">
        <v>26</v>
      </c>
      <c r="O1013" s="2" t="s">
        <v>47</v>
      </c>
      <c r="P1013" s="2" t="s">
        <v>28</v>
      </c>
      <c r="Q1013" s="2" t="s">
        <v>259</v>
      </c>
    </row>
    <row r="1014" spans="1:17">
      <c r="A1014" s="2" t="s">
        <v>1359</v>
      </c>
      <c r="B1014" s="2" t="str">
        <f>[1]Sheet1!M1014</f>
        <v>男</v>
      </c>
      <c r="C1014" s="3" t="str" cm="1">
        <f t="array" ref="C101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西南</v>
      </c>
      <c r="D1014" s="2" t="str">
        <f>MID([1]Sheet1!F1014,FIND("(",[1]Sheet1!F1014)+1,FIND("-",[1]Sheet1!F1014)-FIND("(",[1]Sheet1!F1014)-1)</f>
        <v>四川</v>
      </c>
      <c r="E1014" s="2" t="str">
        <f>MID([1]Sheet1!F1014,FIND("-",[1]Sheet1!F1014)+1,FIND(")",[1]Sheet1!F1014)-FIND("-",[1]Sheet1!F1014)-1)</f>
        <v>南充</v>
      </c>
      <c r="F1014" s="2" t="s">
        <v>159</v>
      </c>
      <c r="G1014" s="2" t="s">
        <v>81</v>
      </c>
      <c r="H1014" s="2" t="s">
        <v>33</v>
      </c>
      <c r="I1014" s="2" t="s">
        <v>43</v>
      </c>
      <c r="J1014" s="2" t="s">
        <v>56</v>
      </c>
      <c r="K1014" s="2" t="s">
        <v>117</v>
      </c>
      <c r="L1014" s="2" t="s">
        <v>24</v>
      </c>
      <c r="M1014" s="2" t="s">
        <v>71</v>
      </c>
      <c r="N1014" s="2" t="s">
        <v>37</v>
      </c>
      <c r="O1014" s="2" t="s">
        <v>89</v>
      </c>
      <c r="P1014" s="2" t="s">
        <v>63</v>
      </c>
      <c r="Q1014" s="2" t="s">
        <v>246</v>
      </c>
    </row>
    <row r="1015" spans="1:17">
      <c r="A1015" s="2" t="s">
        <v>1360</v>
      </c>
      <c r="B1015" s="2" t="str">
        <f>[1]Sheet1!M1015</f>
        <v>男</v>
      </c>
      <c r="C1015" s="3" t="str" cm="1">
        <f t="array" ref="C101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15" s="2" t="str">
        <f>MID([1]Sheet1!F1015,FIND("(",[1]Sheet1!F1015)+1,FIND("-",[1]Sheet1!F1015)-FIND("(",[1]Sheet1!F1015)-1)</f>
        <v>山东</v>
      </c>
      <c r="E1015" s="2" t="str">
        <f>MID([1]Sheet1!F1015,FIND("-",[1]Sheet1!F1015)+1,FIND(")",[1]Sheet1!F1015)-FIND("-",[1]Sheet1!F1015)-1)</f>
        <v>济南</v>
      </c>
      <c r="F1015" s="2" t="s">
        <v>42</v>
      </c>
      <c r="G1015" s="2" t="s">
        <v>32</v>
      </c>
      <c r="H1015" s="2" t="s">
        <v>20</v>
      </c>
      <c r="I1015" s="2" t="s">
        <v>21</v>
      </c>
      <c r="J1015" s="2" t="s">
        <v>82</v>
      </c>
      <c r="K1015" s="2" t="s">
        <v>121</v>
      </c>
      <c r="L1015" s="2" t="s">
        <v>24</v>
      </c>
      <c r="M1015" s="2" t="s">
        <v>71</v>
      </c>
      <c r="N1015" s="2" t="s">
        <v>37</v>
      </c>
      <c r="O1015" s="2" t="s">
        <v>47</v>
      </c>
      <c r="P1015" s="2" t="s">
        <v>39</v>
      </c>
      <c r="Q1015" s="2" t="s">
        <v>172</v>
      </c>
    </row>
    <row r="1016" spans="1:17">
      <c r="A1016" s="2" t="s">
        <v>1361</v>
      </c>
      <c r="B1016" s="2" t="str">
        <f>[1]Sheet1!M1016</f>
        <v>男</v>
      </c>
      <c r="C1016" s="3" t="str" cm="1">
        <f t="array" ref="C101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16" s="2" t="str">
        <f>MID([1]Sheet1!F1016,FIND("(",[1]Sheet1!F1016)+1,FIND("-",[1]Sheet1!F1016)-FIND("(",[1]Sheet1!F1016)-1)</f>
        <v>山东</v>
      </c>
      <c r="E1016" s="2" t="str">
        <f>MID([1]Sheet1!F1016,FIND("-",[1]Sheet1!F1016)+1,FIND(")",[1]Sheet1!F1016)-FIND("-",[1]Sheet1!F1016)-1)</f>
        <v>济南</v>
      </c>
      <c r="F1016" s="2" t="s">
        <v>18</v>
      </c>
      <c r="G1016" s="2" t="s">
        <v>81</v>
      </c>
      <c r="H1016" s="2" t="s">
        <v>20</v>
      </c>
      <c r="I1016" s="2" t="s">
        <v>21</v>
      </c>
      <c r="J1016" s="2" t="s">
        <v>82</v>
      </c>
      <c r="K1016" s="2" t="s">
        <v>169</v>
      </c>
      <c r="L1016" s="2" t="s">
        <v>24</v>
      </c>
      <c r="M1016" s="2" t="s">
        <v>84</v>
      </c>
      <c r="N1016" s="2" t="s">
        <v>37</v>
      </c>
      <c r="O1016" s="2" t="s">
        <v>89</v>
      </c>
      <c r="P1016" s="2" t="s">
        <v>39</v>
      </c>
      <c r="Q1016" s="2" t="s">
        <v>356</v>
      </c>
    </row>
    <row r="1017" spans="1:17">
      <c r="A1017" s="2" t="s">
        <v>1362</v>
      </c>
      <c r="B1017" s="2" t="str">
        <f>[1]Sheet1!M1017</f>
        <v>男</v>
      </c>
      <c r="C1017" s="3" t="str" cm="1">
        <f t="array" ref="C101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17" s="2" t="str">
        <f>MID([1]Sheet1!F1017,FIND("(",[1]Sheet1!F1017)+1,FIND("-",[1]Sheet1!F1017)-FIND("(",[1]Sheet1!F1017)-1)</f>
        <v>安徽</v>
      </c>
      <c r="E1017" s="2" t="str">
        <f>MID([1]Sheet1!F1017,FIND("-",[1]Sheet1!F1017)+1,FIND(")",[1]Sheet1!F1017)-FIND("-",[1]Sheet1!F1017)-1)</f>
        <v>合肥</v>
      </c>
      <c r="F1017" s="2" t="s">
        <v>42</v>
      </c>
      <c r="G1017" s="2" t="s">
        <v>81</v>
      </c>
      <c r="H1017" s="2" t="s">
        <v>66</v>
      </c>
      <c r="I1017" s="2" t="s">
        <v>34</v>
      </c>
      <c r="J1017" s="2" t="s">
        <v>82</v>
      </c>
      <c r="K1017" s="2" t="s">
        <v>130</v>
      </c>
      <c r="L1017" s="2" t="s">
        <v>83</v>
      </c>
      <c r="M1017" s="2" t="s">
        <v>143</v>
      </c>
      <c r="N1017" s="2" t="s">
        <v>37</v>
      </c>
      <c r="O1017" s="2" t="s">
        <v>47</v>
      </c>
      <c r="P1017" s="2" t="s">
        <v>39</v>
      </c>
      <c r="Q1017" s="2" t="s">
        <v>48</v>
      </c>
    </row>
    <row r="1018" spans="1:17">
      <c r="A1018" s="2" t="s">
        <v>691</v>
      </c>
      <c r="B1018" s="2" t="str">
        <f>[1]Sheet1!M1018</f>
        <v>男</v>
      </c>
      <c r="C1018" s="3" t="str" cm="1">
        <f t="array" ref="C101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18" s="2" t="str">
        <f>MID([1]Sheet1!F1018,FIND("(",[1]Sheet1!F1018)+1,FIND("-",[1]Sheet1!F1018)-FIND("(",[1]Sheet1!F1018)-1)</f>
        <v>福建</v>
      </c>
      <c r="E1018" s="2" t="str">
        <f>MID([1]Sheet1!F1018,FIND("-",[1]Sheet1!F1018)+1,FIND(")",[1]Sheet1!F1018)-FIND("-",[1]Sheet1!F1018)-1)</f>
        <v>福州</v>
      </c>
      <c r="F1018" s="2" t="s">
        <v>31</v>
      </c>
      <c r="G1018" s="2" t="s">
        <v>81</v>
      </c>
      <c r="H1018" s="2" t="s">
        <v>33</v>
      </c>
      <c r="I1018" s="2" t="s">
        <v>34</v>
      </c>
      <c r="J1018" s="2" t="s">
        <v>82</v>
      </c>
      <c r="K1018" s="2" t="s">
        <v>117</v>
      </c>
      <c r="L1018" s="2" t="s">
        <v>24</v>
      </c>
      <c r="M1018" s="2" t="s">
        <v>681</v>
      </c>
      <c r="N1018" s="2" t="s">
        <v>37</v>
      </c>
      <c r="O1018" s="2" t="s">
        <v>187</v>
      </c>
      <c r="P1018" s="2" t="s">
        <v>86</v>
      </c>
      <c r="Q1018" s="2" t="s">
        <v>68</v>
      </c>
    </row>
    <row r="1019" spans="1:17">
      <c r="A1019" s="2" t="s">
        <v>1363</v>
      </c>
      <c r="B1019" s="2" t="str">
        <f>[1]Sheet1!M1019</f>
        <v>男</v>
      </c>
      <c r="C1019" s="3" t="str" cm="1">
        <f t="array" ref="C101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1019)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19" s="2" t="str">
        <f>MID([1]Sheet1!F1019,FIND("(",[1]Sheet1!F1019)+1,FIND("-",[1]Sheet1!F1019)-FIND("(",[1]Sheet1!F1019)-1)</f>
        <v>江苏</v>
      </c>
      <c r="E1019" s="2" t="str">
        <f>MID([1]Sheet1!F1019,FIND("-",[1]Sheet1!F1019)+1,FIND(")",[1]Sheet1!F1019)-FIND("-",[1]Sheet1!F1019)-1)</f>
        <v>连云港</v>
      </c>
      <c r="F1019" s="2" t="s">
        <v>31</v>
      </c>
      <c r="G1019" s="2" t="s">
        <v>32</v>
      </c>
      <c r="H1019" s="2" t="s">
        <v>66</v>
      </c>
      <c r="I1019" s="2" t="s">
        <v>43</v>
      </c>
      <c r="J1019" s="2" t="s">
        <v>96</v>
      </c>
      <c r="K1019" s="2" t="s">
        <v>117</v>
      </c>
      <c r="L1019" s="2" t="s">
        <v>83</v>
      </c>
      <c r="M1019" s="2" t="s">
        <v>126</v>
      </c>
      <c r="N1019" s="2" t="s">
        <v>37</v>
      </c>
      <c r="O1019" s="2" t="s">
        <v>301</v>
      </c>
      <c r="P1019" s="2" t="s">
        <v>39</v>
      </c>
      <c r="Q1019" s="2" t="s">
        <v>48</v>
      </c>
    </row>
    <row r="1020" spans="1:17">
      <c r="A1020" s="2" t="s">
        <v>1364</v>
      </c>
      <c r="B1020" s="2" t="str">
        <f>[1]Sheet1!M1020</f>
        <v>女</v>
      </c>
      <c r="C1020" s="3" t="str" cm="1">
        <f t="array" ref="C102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020" s="2" t="str">
        <f>MID([1]Sheet1!F1020,FIND("(",[1]Sheet1!F1020)+1,FIND("-",[1]Sheet1!F1020)-FIND("(",[1]Sheet1!F1020)-1)</f>
        <v>广西</v>
      </c>
      <c r="E1020" s="2" t="str">
        <f>MID([1]Sheet1!F1020,FIND("-",[1]Sheet1!F1020)+1,FIND(")",[1]Sheet1!F1020)-FIND("-",[1]Sheet1!F1020)-1)</f>
        <v>南宁</v>
      </c>
      <c r="F1020" s="2" t="s">
        <v>18</v>
      </c>
      <c r="G1020" s="2" t="s">
        <v>81</v>
      </c>
      <c r="H1020" s="2" t="s">
        <v>66</v>
      </c>
      <c r="I1020" s="2" t="s">
        <v>51</v>
      </c>
      <c r="J1020" s="2" t="s">
        <v>56</v>
      </c>
      <c r="K1020" s="2" t="s">
        <v>121</v>
      </c>
      <c r="L1020" s="2" t="s">
        <v>24</v>
      </c>
      <c r="M1020" s="2" t="s">
        <v>36</v>
      </c>
      <c r="N1020" s="2" t="s">
        <v>37</v>
      </c>
      <c r="O1020" s="2" t="s">
        <v>202</v>
      </c>
      <c r="P1020" s="2" t="s">
        <v>86</v>
      </c>
      <c r="Q1020" s="2" t="s">
        <v>487</v>
      </c>
    </row>
    <row r="1021" spans="1:17">
      <c r="A1021" s="2" t="s">
        <v>1365</v>
      </c>
      <c r="B1021" s="2" t="str">
        <f>[1]Sheet1!M1021</f>
        <v>男</v>
      </c>
      <c r="C1021" s="3" t="str" cm="1">
        <f t="array" ref="C102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021" s="2" t="str">
        <f>MID([1]Sheet1!F1021,FIND("(",[1]Sheet1!F1021)+1,FIND("-",[1]Sheet1!F1021)-FIND("(",[1]Sheet1!F1021)-1)</f>
        <v>广东</v>
      </c>
      <c r="E1021" s="2" t="str">
        <f>MID([1]Sheet1!F1021,FIND("-",[1]Sheet1!F1021)+1,FIND(")",[1]Sheet1!F1021)-FIND("-",[1]Sheet1!F1021)-1)</f>
        <v>佛山</v>
      </c>
      <c r="F1021" s="2" t="s">
        <v>88</v>
      </c>
      <c r="G1021" s="2" t="s">
        <v>81</v>
      </c>
      <c r="H1021" s="2" t="s">
        <v>33</v>
      </c>
      <c r="I1021" s="2" t="s">
        <v>34</v>
      </c>
      <c r="J1021" s="2" t="s">
        <v>77</v>
      </c>
      <c r="K1021" s="2" t="s">
        <v>117</v>
      </c>
      <c r="L1021" s="2" t="s">
        <v>24</v>
      </c>
      <c r="M1021" s="2" t="s">
        <v>36</v>
      </c>
      <c r="N1021" s="2" t="s">
        <v>85</v>
      </c>
      <c r="O1021" s="2" t="s">
        <v>89</v>
      </c>
      <c r="P1021" s="2" t="s">
        <v>28</v>
      </c>
      <c r="Q1021" s="2" t="s">
        <v>356</v>
      </c>
    </row>
    <row r="1022" spans="1:17">
      <c r="A1022" s="2" t="s">
        <v>1366</v>
      </c>
      <c r="B1022" s="2" t="str">
        <f>[1]Sheet1!M1022</f>
        <v>男</v>
      </c>
      <c r="C1022" s="3" t="str" cm="1">
        <f t="array" ref="C1022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1022)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22" s="2" t="str">
        <f>MID([1]Sheet1!F1022,FIND("(",[1]Sheet1!F1022)+1,FIND("-",[1]Sheet1!F1022)-FIND("(",[1]Sheet1!F1022)-1)</f>
        <v>浙江</v>
      </c>
      <c r="E1022" s="2" t="str">
        <f>MID([1]Sheet1!F1022,FIND("-",[1]Sheet1!F1022)+1,FIND(")",[1]Sheet1!F1022)-FIND("-",[1]Sheet1!F1022)-1)</f>
        <v>台州</v>
      </c>
      <c r="F1022" s="2" t="s">
        <v>31</v>
      </c>
      <c r="G1022" s="2" t="s">
        <v>81</v>
      </c>
      <c r="H1022" s="2" t="s">
        <v>20</v>
      </c>
      <c r="I1022" s="2" t="s">
        <v>34</v>
      </c>
      <c r="J1022" s="2" t="s">
        <v>96</v>
      </c>
      <c r="K1022" s="2" t="s">
        <v>117</v>
      </c>
      <c r="L1022" s="2" t="s">
        <v>83</v>
      </c>
      <c r="M1022" s="2" t="s">
        <v>143</v>
      </c>
      <c r="N1022" s="2" t="s">
        <v>37</v>
      </c>
      <c r="O1022" s="2" t="s">
        <v>47</v>
      </c>
      <c r="P1022" s="2" t="s">
        <v>39</v>
      </c>
      <c r="Q1022" s="2" t="s">
        <v>1367</v>
      </c>
    </row>
    <row r="1023" spans="1:17">
      <c r="A1023" s="2" t="s">
        <v>1368</v>
      </c>
      <c r="B1023" s="2" t="str">
        <f>[1]Sheet1!M1023</f>
        <v>男</v>
      </c>
      <c r="C1023" s="3" t="str" cm="1">
        <f t="array" ref="C1023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1023)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23" s="2" t="str">
        <f>MID([1]Sheet1!F1023,FIND("(",[1]Sheet1!F1023)+1,FIND("-",[1]Sheet1!F1023)-FIND("(",[1]Sheet1!F1023)-1)</f>
        <v>湖南</v>
      </c>
      <c r="E1023" s="2" t="str">
        <f>MID([1]Sheet1!F1023,FIND("-",[1]Sheet1!F1023)+1,FIND(")",[1]Sheet1!F1023)-FIND("-",[1]Sheet1!F1023)-1)</f>
        <v>株洲</v>
      </c>
      <c r="F1023" s="2" t="s">
        <v>159</v>
      </c>
      <c r="G1023" s="2" t="s">
        <v>50</v>
      </c>
      <c r="H1023" s="2" t="s">
        <v>66</v>
      </c>
      <c r="I1023" s="2" t="s">
        <v>51</v>
      </c>
      <c r="J1023" s="2" t="s">
        <v>56</v>
      </c>
      <c r="K1023" s="2" t="s">
        <v>117</v>
      </c>
      <c r="L1023" s="2" t="s">
        <v>24</v>
      </c>
      <c r="M1023" s="2" t="s">
        <v>25</v>
      </c>
      <c r="N1023" s="2" t="s">
        <v>37</v>
      </c>
      <c r="O1023" s="2" t="s">
        <v>1369</v>
      </c>
      <c r="P1023" s="2" t="s">
        <v>39</v>
      </c>
      <c r="Q1023" s="2" t="s">
        <v>261</v>
      </c>
    </row>
    <row r="1024" spans="1:17">
      <c r="A1024" s="2" t="s">
        <v>1370</v>
      </c>
      <c r="B1024" s="2" t="str">
        <f>[1]Sheet1!M1024</f>
        <v>男</v>
      </c>
      <c r="C1024" s="3" t="str" cm="1">
        <f t="array" ref="C1024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1024)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24" s="2" t="str">
        <f>MID([1]Sheet1!F1024,FIND("(",[1]Sheet1!F1024)+1,FIND("-",[1]Sheet1!F1024)-FIND("(",[1]Sheet1!F1024)-1)</f>
        <v>山东</v>
      </c>
      <c r="E1024" s="2" t="str">
        <f>MID([1]Sheet1!F1024,FIND("-",[1]Sheet1!F1024)+1,FIND(")",[1]Sheet1!F1024)-FIND("-",[1]Sheet1!F1024)-1)</f>
        <v>枣庄</v>
      </c>
      <c r="F1024" s="2" t="s">
        <v>70</v>
      </c>
      <c r="G1024" s="2" t="s">
        <v>32</v>
      </c>
      <c r="H1024" s="2" t="s">
        <v>20</v>
      </c>
      <c r="I1024" s="2" t="s">
        <v>51</v>
      </c>
      <c r="J1024" s="2" t="s">
        <v>77</v>
      </c>
      <c r="K1024" s="2" t="s">
        <v>121</v>
      </c>
      <c r="L1024" s="2" t="s">
        <v>83</v>
      </c>
      <c r="M1024" s="2" t="s">
        <v>25</v>
      </c>
      <c r="N1024" s="2" t="s">
        <v>37</v>
      </c>
      <c r="O1024" s="2" t="s">
        <v>187</v>
      </c>
      <c r="P1024" s="2" t="s">
        <v>28</v>
      </c>
      <c r="Q1024" s="2" t="s">
        <v>400</v>
      </c>
    </row>
    <row r="1025" spans="1:17">
      <c r="A1025" s="2" t="s">
        <v>1371</v>
      </c>
      <c r="B1025" s="2" t="str">
        <f>[1]Sheet1!M1025</f>
        <v>男</v>
      </c>
      <c r="C1025" s="3" t="str" cm="1">
        <f t="array" ref="C1025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1025)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西北</v>
      </c>
      <c r="D1025" s="2" t="str">
        <f>MID([1]Sheet1!F1025,FIND("(",[1]Sheet1!F1025)+1,FIND("-",[1]Sheet1!F1025)-FIND("(",[1]Sheet1!F1025)-1)</f>
        <v>新疆</v>
      </c>
      <c r="E1025" s="2" t="str">
        <f>MID([1]Sheet1!F1025,FIND("-",[1]Sheet1!F1025)+1,FIND(")",[1]Sheet1!F1025)-FIND("-",[1]Sheet1!F1025)-1)</f>
        <v>昌吉</v>
      </c>
      <c r="F1025" s="2" t="s">
        <v>18</v>
      </c>
      <c r="G1025" s="2" t="s">
        <v>114</v>
      </c>
      <c r="H1025" s="2" t="s">
        <v>20</v>
      </c>
      <c r="I1025" s="2" t="s">
        <v>21</v>
      </c>
      <c r="J1025" s="2" t="s">
        <v>96</v>
      </c>
      <c r="K1025" s="2" t="s">
        <v>115</v>
      </c>
      <c r="L1025" s="2" t="s">
        <v>83</v>
      </c>
      <c r="M1025" s="2" t="s">
        <v>92</v>
      </c>
      <c r="N1025" s="2" t="s">
        <v>37</v>
      </c>
      <c r="O1025" s="2" t="s">
        <v>422</v>
      </c>
      <c r="P1025" s="2" t="s">
        <v>86</v>
      </c>
      <c r="Q1025" s="2" t="s">
        <v>1372</v>
      </c>
    </row>
    <row r="1026" spans="1:17">
      <c r="A1026" s="2" t="s">
        <v>1373</v>
      </c>
      <c r="B1026" s="2" t="str">
        <f>[1]Sheet1!M1026</f>
        <v>女</v>
      </c>
      <c r="C1026" s="3" t="str" cm="1">
        <f t="array" ref="C1026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1026)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26" s="2" t="str">
        <f>MID([1]Sheet1!F1026,FIND("(",[1]Sheet1!F1026)+1,FIND("-",[1]Sheet1!F1026)-FIND("(",[1]Sheet1!F1026)-1)</f>
        <v>河南</v>
      </c>
      <c r="E1026" s="2" t="str">
        <f>MID([1]Sheet1!F1026,FIND("-",[1]Sheet1!F1026)+1,FIND(")",[1]Sheet1!F1026)-FIND("-",[1]Sheet1!F1026)-1)</f>
        <v>平顶山</v>
      </c>
      <c r="F1026" s="2" t="s">
        <v>70</v>
      </c>
      <c r="G1026" s="2" t="s">
        <v>19</v>
      </c>
      <c r="H1026" s="2" t="s">
        <v>66</v>
      </c>
      <c r="I1026" s="2" t="s">
        <v>51</v>
      </c>
      <c r="J1026" s="2" t="s">
        <v>82</v>
      </c>
      <c r="K1026" s="2" t="s">
        <v>115</v>
      </c>
      <c r="L1026" s="2" t="s">
        <v>24</v>
      </c>
      <c r="M1026" s="2" t="s">
        <v>36</v>
      </c>
      <c r="N1026" s="2" t="s">
        <v>37</v>
      </c>
      <c r="O1026" s="2" t="s">
        <v>89</v>
      </c>
      <c r="P1026" s="2" t="s">
        <v>28</v>
      </c>
      <c r="Q1026" s="2" t="s">
        <v>133</v>
      </c>
    </row>
    <row r="1027" spans="1:17">
      <c r="A1027" s="2" t="s">
        <v>1374</v>
      </c>
      <c r="B1027" s="2" t="str">
        <f>[1]Sheet1!M1027</f>
        <v>女</v>
      </c>
      <c r="C1027" s="3" t="str" cm="1">
        <f t="array" ref="C1027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1027)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中原</v>
      </c>
      <c r="D1027" s="2" t="str">
        <f>MID([1]Sheet1!F1027,FIND("(",[1]Sheet1!F1027)+1,FIND("-",[1]Sheet1!F1027)-FIND("(",[1]Sheet1!F1027)-1)</f>
        <v>河南</v>
      </c>
      <c r="E1027" s="2" t="str">
        <f>MID([1]Sheet1!F1027,FIND("-",[1]Sheet1!F1027)+1,FIND(")",[1]Sheet1!F1027)-FIND("-",[1]Sheet1!F1027)-1)</f>
        <v>平顶山</v>
      </c>
      <c r="F1027" s="2" t="s">
        <v>70</v>
      </c>
      <c r="G1027" s="2" t="s">
        <v>81</v>
      </c>
      <c r="H1027" s="2" t="s">
        <v>66</v>
      </c>
      <c r="I1027" s="2" t="s">
        <v>43</v>
      </c>
      <c r="J1027" s="2" t="s">
        <v>56</v>
      </c>
      <c r="K1027" s="2" t="s">
        <v>240</v>
      </c>
      <c r="L1027" s="2" t="s">
        <v>24</v>
      </c>
      <c r="M1027" s="2" t="s">
        <v>36</v>
      </c>
      <c r="N1027" s="2" t="s">
        <v>37</v>
      </c>
      <c r="O1027" s="2" t="s">
        <v>89</v>
      </c>
      <c r="P1027" s="2" t="s">
        <v>28</v>
      </c>
      <c r="Q1027" s="2" t="s">
        <v>150</v>
      </c>
    </row>
    <row r="1028" spans="1:17">
      <c r="A1028" s="2" t="s">
        <v>1375</v>
      </c>
      <c r="B1028" s="2" t="str">
        <f>[1]Sheet1!M1028</f>
        <v>男</v>
      </c>
      <c r="C1028" s="3" t="str" cm="1">
        <f t="array" ref="C1028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1028)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28" s="2" t="str">
        <f>MID([1]Sheet1!F1028,FIND("(",[1]Sheet1!F1028)+1,FIND("-",[1]Sheet1!F1028)-FIND("(",[1]Sheet1!F1028)-1)</f>
        <v>福建</v>
      </c>
      <c r="E1028" s="2" t="str">
        <f>MID([1]Sheet1!F1028,FIND("-",[1]Sheet1!F1028)+1,FIND(")",[1]Sheet1!F1028)-FIND("-",[1]Sheet1!F1028)-1)</f>
        <v>莆田</v>
      </c>
      <c r="F1028" s="2" t="s">
        <v>18</v>
      </c>
      <c r="G1028" s="2" t="s">
        <v>19</v>
      </c>
      <c r="H1028" s="2" t="s">
        <v>66</v>
      </c>
      <c r="I1028" s="2" t="s">
        <v>43</v>
      </c>
      <c r="J1028" s="2" t="s">
        <v>56</v>
      </c>
      <c r="K1028" s="2" t="s">
        <v>130</v>
      </c>
      <c r="L1028" s="2" t="s">
        <v>24</v>
      </c>
      <c r="M1028" s="2" t="s">
        <v>67</v>
      </c>
      <c r="N1028" s="2" t="s">
        <v>37</v>
      </c>
      <c r="O1028" s="2" t="s">
        <v>58</v>
      </c>
      <c r="P1028" s="2" t="s">
        <v>86</v>
      </c>
      <c r="Q1028" s="2" t="s">
        <v>107</v>
      </c>
    </row>
    <row r="1029" spans="1:17">
      <c r="A1029" s="2" t="s">
        <v>1376</v>
      </c>
      <c r="B1029" s="2" t="str">
        <f>[1]Sheet1!M1029</f>
        <v>女</v>
      </c>
      <c r="C1029" s="3" t="str" cm="1">
        <f t="array" ref="C1029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1029)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华东</v>
      </c>
      <c r="D1029" s="2" t="str">
        <f>MID([1]Sheet1!F1029,FIND("(",[1]Sheet1!F1029)+1,FIND("-",[1]Sheet1!F1029)-FIND("(",[1]Sheet1!F1029)-1)</f>
        <v>江苏</v>
      </c>
      <c r="E1029" s="2" t="str">
        <f>MID([1]Sheet1!F1029,FIND("-",[1]Sheet1!F1029)+1,FIND(")",[1]Sheet1!F1029)-FIND("-",[1]Sheet1!F1029)-1)</f>
        <v>徐州</v>
      </c>
      <c r="F1029" s="2" t="s">
        <v>31</v>
      </c>
      <c r="G1029" s="2" t="s">
        <v>32</v>
      </c>
      <c r="H1029" s="2" t="s">
        <v>66</v>
      </c>
      <c r="I1029" s="2" t="s">
        <v>34</v>
      </c>
      <c r="J1029" s="2" t="s">
        <v>56</v>
      </c>
      <c r="K1029" s="2" t="s">
        <v>212</v>
      </c>
      <c r="L1029" s="2" t="s">
        <v>24</v>
      </c>
      <c r="M1029" s="2" t="s">
        <v>78</v>
      </c>
      <c r="N1029" s="2" t="s">
        <v>26</v>
      </c>
      <c r="O1029" s="2" t="s">
        <v>38</v>
      </c>
      <c r="P1029" s="2" t="s">
        <v>39</v>
      </c>
      <c r="Q1029" s="2" t="s">
        <v>1174</v>
      </c>
    </row>
    <row r="1030" spans="1:17">
      <c r="A1030" s="2" t="s">
        <v>1377</v>
      </c>
      <c r="B1030" s="2" t="str">
        <f>[1]Sheet1!M1030</f>
        <v>男</v>
      </c>
      <c r="C1030" s="3" t="str" cm="1">
        <f t="array" ref="C1030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1030)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华南</v>
      </c>
      <c r="D1030" s="2" t="str">
        <f>MID([1]Sheet1!F1030,FIND("(",[1]Sheet1!F1030)+1,FIND("-",[1]Sheet1!F1030)-FIND("(",[1]Sheet1!F1030)-1)</f>
        <v>广东</v>
      </c>
      <c r="E1030" s="2" t="str">
        <f>MID([1]Sheet1!F1030,FIND("-",[1]Sheet1!F1030)+1,FIND(")",[1]Sheet1!F1030)-FIND("-",[1]Sheet1!F1030)-1)</f>
        <v>深圳</v>
      </c>
      <c r="F1030" s="2" t="s">
        <v>159</v>
      </c>
      <c r="G1030" s="2" t="s">
        <v>19</v>
      </c>
      <c r="H1030" s="2" t="s">
        <v>66</v>
      </c>
      <c r="I1030" s="2" t="s">
        <v>73</v>
      </c>
      <c r="J1030" s="2" t="s">
        <v>35</v>
      </c>
      <c r="K1030" s="2" t="s">
        <v>121</v>
      </c>
      <c r="L1030" s="2" t="s">
        <v>24</v>
      </c>
      <c r="M1030" s="2" t="s">
        <v>36</v>
      </c>
      <c r="N1030" s="2" t="s">
        <v>37</v>
      </c>
      <c r="O1030" s="2" t="s">
        <v>47</v>
      </c>
      <c r="P1030" s="2" t="s">
        <v>39</v>
      </c>
      <c r="Q1030" s="2" t="s">
        <v>94</v>
      </c>
    </row>
    <row r="1031" spans="1:17">
      <c r="A1031" s="2" t="s">
        <v>1378</v>
      </c>
      <c r="B1031" s="2" t="str">
        <f>[1]Sheet1!M1031</f>
        <v>男</v>
      </c>
      <c r="C1031" s="3" t="str" cm="1">
        <f t="array" ref="C1031">IFERROR(LOOKUP(1,0/SEARCH({"黑龙江","吉林","辽宁","内蒙古","宁夏","青海","陕西","新疆","甘肃","安徽","湖北","湖南","江西","北京","河北","山西","天津","广东","广西","海南","贵州","四川","云南","重庆","河南","山东","福建","江苏","上海","浙江"},D1031),{"东北","东北","东北","东北","西北","西北","西北","西北","西北","中南","中南","中南","中南","华北","华北","华北","华北","华南","华南","华南","西南","西南","西南","西南","中原","中原","华东","华东","华东","华东"}),"其他")</f>
        <v>中南</v>
      </c>
      <c r="D1031" s="2" t="str">
        <f>MID([1]Sheet1!F1031,FIND("(",[1]Sheet1!F1031)+1,FIND("-",[1]Sheet1!F1031)-FIND("(",[1]Sheet1!F1031)-1)</f>
        <v>江西</v>
      </c>
      <c r="E1031" s="2" t="str">
        <f>MID([1]Sheet1!F1031,FIND("-",[1]Sheet1!F1031)+1,FIND(")",[1]Sheet1!F1031)-FIND("-",[1]Sheet1!F1031)-1)</f>
        <v>南昌</v>
      </c>
      <c r="F1031" s="2" t="s">
        <v>88</v>
      </c>
      <c r="G1031" s="2" t="s">
        <v>81</v>
      </c>
      <c r="H1031" s="2" t="s">
        <v>66</v>
      </c>
      <c r="I1031" s="2" t="s">
        <v>21</v>
      </c>
      <c r="J1031" s="2" t="s">
        <v>56</v>
      </c>
      <c r="K1031" s="2" t="s">
        <v>121</v>
      </c>
      <c r="L1031" s="2" t="s">
        <v>24</v>
      </c>
      <c r="M1031" s="2" t="s">
        <v>36</v>
      </c>
      <c r="N1031" s="2" t="s">
        <v>26</v>
      </c>
      <c r="O1031" s="2" t="s">
        <v>106</v>
      </c>
      <c r="P1031" s="2" t="s">
        <v>63</v>
      </c>
      <c r="Q1031" s="2" t="s">
        <v>1174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19660</dc:creator>
  <cp:lastModifiedBy>Alcatraz</cp:lastModifiedBy>
  <dcterms:created xsi:type="dcterms:W3CDTF">2026-04-25T12:31:43Z</dcterms:created>
  <dcterms:modified xsi:type="dcterms:W3CDTF">2026-04-25T12:32:20Z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8C2074FB4B2742B799A4D52AA9214DF8_11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